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8advisory.sharepoint.com/sites/PronoCDM22PRA/Documents partages/CDM 2026/Player template/"/>
    </mc:Choice>
  </mc:AlternateContent>
  <xr:revisionPtr revIDLastSave="1224" documentId="8_{7D876D8F-AEFA-4C3A-AED4-DAC177501FCF}" xr6:coauthVersionLast="47" xr6:coauthVersionMax="47" xr10:uidLastSave="{54AC0D6A-C2DD-4D24-9ADB-B3A0A112A225}"/>
  <workbookProtection workbookAlgorithmName="SHA-512" workbookHashValue="UBx+qIsCwYpPnx8yqlF/Ia0+iaiXN0nBAXM38rDEttUTzxlfuytAIs2hJho3pwZ6YRQ/M1bG4ImzFpjjHF+gVQ==" workbookSaltValue="uiDKOgjwO9viYi7kuRPl/A==" workbookSpinCount="100000" lockStructure="1"/>
  <bookViews>
    <workbookView xWindow="57480" yWindow="-6210" windowWidth="29040" windowHeight="15720" activeTab="2" xr2:uid="{22493F50-B0DF-440D-B306-7BF22F0EDD54}"/>
  </bookViews>
  <sheets>
    <sheet name="Rules" sheetId="10" r:id="rId1"/>
    <sheet name="Player Template" sheetId="1" r:id="rId2"/>
    <sheet name="Last 8 teams predictions" sheetId="13" r:id="rId3"/>
    <sheet name="Base Player" sheetId="11" state="hidden" r:id="rId4"/>
    <sheet name="Base qualification" sheetId="14" state="hidden" r:id="rId5"/>
    <sheet name="Best 3rds calculation" sheetId="3" state="hidden" r:id="rId6"/>
    <sheet name="FIFA rankings" sheetId="2" state="hidden" r:id="rId7"/>
    <sheet name="Offices" sheetId="7" state="hidden" r:id="rId8"/>
    <sheet name="UPSLIDE_UndoFormatting" sheetId="9" state="hidden" r:id="rId9"/>
    <sheet name="UPSLIDE_Undo" sheetId="8" state="hidden" r:id="rId10"/>
  </sheets>
  <definedNames>
    <definedName name="_xlnm._FilterDatabase" localSheetId="3" hidden="1">'Base Player'!$A$1:$C$73</definedName>
    <definedName name="_xlnm._FilterDatabase" localSheetId="6" hidden="1">'FIFA rankings'!$A$14:$D$62</definedName>
    <definedName name="_xlnm._FilterDatabase" localSheetId="1" hidden="1">'Player Template'!$G$26:$AB$123</definedName>
    <definedName name="_UNDO_UPS_" hidden="1">'Last 8 teams predictions'!$B:$E</definedName>
    <definedName name="_UNDO_UPS_SEL_" hidden="1">'Last 8 teams predictions'!$B:$E</definedName>
    <definedName name="_UNDO31X31X_" hidden="1">'Last 8 teams predictions'!$B:$E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3" l="1"/>
  <c r="I18" i="3"/>
  <c r="I19" i="3"/>
  <c r="I20" i="3"/>
  <c r="I21" i="3"/>
  <c r="I22" i="3"/>
  <c r="I23" i="3" s="1"/>
  <c r="I24" i="3" s="1"/>
  <c r="I25" i="3" s="1"/>
  <c r="I26" i="3" s="1"/>
  <c r="I16" i="3"/>
  <c r="G114" i="1" l="1"/>
  <c r="G106" i="1"/>
  <c r="G98" i="1"/>
  <c r="G90" i="1"/>
  <c r="G82" i="1"/>
  <c r="G74" i="1"/>
  <c r="G66" i="1"/>
  <c r="G58" i="1"/>
  <c r="G50" i="1"/>
  <c r="G42" i="1"/>
  <c r="G34" i="1"/>
  <c r="G26" i="1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A16" i="13" l="1"/>
  <c r="A15" i="13"/>
  <c r="A14" i="13"/>
  <c r="A13" i="13"/>
  <c r="A12" i="13"/>
  <c r="A11" i="13"/>
  <c r="A10" i="13"/>
  <c r="A9" i="13"/>
  <c r="F4" i="13" l="1"/>
  <c r="B25" i="10" l="1"/>
  <c r="A2" i="13"/>
  <c r="B35" i="10" s="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C5" i="11"/>
  <c r="B5" i="11"/>
  <c r="C4" i="11"/>
  <c r="B4" i="11"/>
  <c r="C3" i="11"/>
  <c r="B3" i="11"/>
  <c r="C2" i="11"/>
  <c r="B2" i="11"/>
  <c r="E73" i="11"/>
  <c r="D73" i="11"/>
  <c r="E72" i="11"/>
  <c r="D72" i="11"/>
  <c r="E71" i="11"/>
  <c r="D71" i="11"/>
  <c r="E70" i="11"/>
  <c r="D70" i="11"/>
  <c r="E69" i="11"/>
  <c r="D69" i="11"/>
  <c r="E68" i="11"/>
  <c r="D68" i="11"/>
  <c r="E67" i="11"/>
  <c r="D67" i="11"/>
  <c r="E66" i="11"/>
  <c r="D66" i="11"/>
  <c r="E65" i="11"/>
  <c r="D65" i="11"/>
  <c r="E64" i="11"/>
  <c r="D64" i="11"/>
  <c r="E63" i="11"/>
  <c r="D63" i="11"/>
  <c r="E62" i="11"/>
  <c r="D62" i="11"/>
  <c r="E61" i="11"/>
  <c r="D61" i="11"/>
  <c r="E60" i="11"/>
  <c r="D60" i="11"/>
  <c r="E59" i="11"/>
  <c r="D59" i="11"/>
  <c r="E58" i="11"/>
  <c r="D58" i="11"/>
  <c r="E57" i="11"/>
  <c r="D57" i="11"/>
  <c r="E56" i="11"/>
  <c r="D56" i="11"/>
  <c r="E55" i="11"/>
  <c r="D55" i="11"/>
  <c r="E54" i="11"/>
  <c r="D54" i="11"/>
  <c r="E53" i="11"/>
  <c r="D53" i="11"/>
  <c r="E52" i="11"/>
  <c r="D52" i="11"/>
  <c r="E51" i="11"/>
  <c r="D51" i="11"/>
  <c r="E50" i="11"/>
  <c r="D50" i="11"/>
  <c r="E49" i="11"/>
  <c r="D49" i="11"/>
  <c r="E48" i="11"/>
  <c r="D48" i="11"/>
  <c r="E47" i="11"/>
  <c r="D47" i="11"/>
  <c r="E46" i="11"/>
  <c r="D46" i="11"/>
  <c r="E45" i="11"/>
  <c r="D45" i="11"/>
  <c r="E44" i="11"/>
  <c r="D44" i="11"/>
  <c r="E43" i="11"/>
  <c r="D43" i="11"/>
  <c r="E42" i="11"/>
  <c r="D42" i="11"/>
  <c r="E41" i="11"/>
  <c r="D41" i="11"/>
  <c r="E40" i="11"/>
  <c r="D40" i="11"/>
  <c r="E39" i="11"/>
  <c r="D39" i="11"/>
  <c r="E38" i="11"/>
  <c r="D38" i="11"/>
  <c r="E37" i="11"/>
  <c r="D37" i="11"/>
  <c r="E36" i="11"/>
  <c r="D36" i="11"/>
  <c r="E35" i="11"/>
  <c r="D35" i="11"/>
  <c r="E34" i="11"/>
  <c r="D34" i="11"/>
  <c r="E33" i="11"/>
  <c r="D33" i="11"/>
  <c r="E32" i="11"/>
  <c r="D32" i="11"/>
  <c r="E31" i="11"/>
  <c r="D31" i="11"/>
  <c r="E30" i="11"/>
  <c r="D30" i="11"/>
  <c r="E29" i="11"/>
  <c r="D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E18" i="11"/>
  <c r="D18" i="11"/>
  <c r="E17" i="11"/>
  <c r="D17" i="11"/>
  <c r="E16" i="11"/>
  <c r="D16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3" i="11"/>
  <c r="D3" i="11"/>
  <c r="E2" i="11"/>
  <c r="D2" i="11"/>
  <c r="A2" i="1" l="1"/>
  <c r="B13" i="10" s="1"/>
  <c r="A2" i="10"/>
  <c r="A3" i="7"/>
  <c r="A115" i="1"/>
  <c r="A120" i="1"/>
  <c r="A119" i="1"/>
  <c r="A118" i="1"/>
  <c r="A117" i="1"/>
  <c r="A116" i="1"/>
  <c r="A112" i="1"/>
  <c r="A111" i="1"/>
  <c r="A110" i="1"/>
  <c r="A109" i="1"/>
  <c r="A108" i="1"/>
  <c r="A107" i="1"/>
  <c r="A104" i="1"/>
  <c r="A103" i="1"/>
  <c r="A102" i="1"/>
  <c r="A101" i="1"/>
  <c r="A100" i="1"/>
  <c r="A99" i="1"/>
  <c r="A96" i="1"/>
  <c r="A95" i="1"/>
  <c r="A94" i="1"/>
  <c r="A93" i="1"/>
  <c r="A92" i="1"/>
  <c r="A91" i="1"/>
  <c r="A88" i="1"/>
  <c r="A87" i="1"/>
  <c r="A86" i="1"/>
  <c r="A85" i="1"/>
  <c r="A84" i="1"/>
  <c r="A83" i="1"/>
  <c r="A80" i="1"/>
  <c r="A79" i="1"/>
  <c r="A78" i="1"/>
  <c r="A77" i="1"/>
  <c r="A76" i="1"/>
  <c r="A75" i="1"/>
  <c r="A72" i="1"/>
  <c r="A71" i="1"/>
  <c r="A70" i="1"/>
  <c r="A69" i="1"/>
  <c r="A68" i="1"/>
  <c r="A67" i="1"/>
  <c r="A64" i="1"/>
  <c r="A63" i="1"/>
  <c r="A62" i="1"/>
  <c r="A61" i="1"/>
  <c r="A60" i="1"/>
  <c r="A59" i="1"/>
  <c r="A56" i="1"/>
  <c r="A55" i="1"/>
  <c r="A54" i="1"/>
  <c r="A53" i="1"/>
  <c r="A52" i="1"/>
  <c r="A51" i="1"/>
  <c r="A48" i="1"/>
  <c r="A47" i="1"/>
  <c r="A46" i="1"/>
  <c r="A45" i="1"/>
  <c r="A44" i="1"/>
  <c r="A43" i="1"/>
  <c r="A40" i="1"/>
  <c r="A39" i="1"/>
  <c r="A38" i="1"/>
  <c r="A37" i="1"/>
  <c r="A36" i="1"/>
  <c r="A35" i="1"/>
  <c r="A32" i="1"/>
  <c r="A31" i="1"/>
  <c r="A30" i="1"/>
  <c r="A29" i="1"/>
  <c r="A28" i="1"/>
  <c r="A27" i="1"/>
  <c r="B4" i="1" l="1"/>
  <c r="Z123" i="1"/>
  <c r="W125" i="1"/>
  <c r="W126" i="1" s="1"/>
  <c r="D26" i="3"/>
  <c r="D25" i="3"/>
  <c r="D24" i="3"/>
  <c r="D23" i="3"/>
  <c r="D22" i="3"/>
  <c r="D21" i="3"/>
  <c r="D20" i="3"/>
  <c r="D19" i="3"/>
  <c r="D18" i="3"/>
  <c r="D17" i="3"/>
  <c r="E16" i="3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D16" i="3"/>
  <c r="D15" i="3"/>
  <c r="A3" i="3"/>
  <c r="A3" i="2"/>
  <c r="U120" i="1"/>
  <c r="C69" i="11" s="1"/>
  <c r="R120" i="1"/>
  <c r="G120" i="1"/>
  <c r="U119" i="1"/>
  <c r="R119" i="1"/>
  <c r="AE119" i="1" s="1"/>
  <c r="BE118" i="1"/>
  <c r="U118" i="1"/>
  <c r="C47" i="11" s="1"/>
  <c r="R118" i="1"/>
  <c r="BE117" i="1"/>
  <c r="U117" i="1"/>
  <c r="M117" i="1" s="1"/>
  <c r="R117" i="1"/>
  <c r="B46" i="11" s="1"/>
  <c r="BE116" i="1"/>
  <c r="AF116" i="1"/>
  <c r="AE116" i="1"/>
  <c r="M116" i="1"/>
  <c r="G116" i="1"/>
  <c r="BE115" i="1"/>
  <c r="AF115" i="1"/>
  <c r="AE115" i="1"/>
  <c r="W115" i="1"/>
  <c r="M115" i="1"/>
  <c r="G115" i="1"/>
  <c r="AB114" i="1"/>
  <c r="P114" i="1"/>
  <c r="U112" i="1"/>
  <c r="R112" i="1"/>
  <c r="U111" i="1"/>
  <c r="C72" i="11" s="1"/>
  <c r="R111" i="1"/>
  <c r="B72" i="11" s="1"/>
  <c r="BE110" i="1"/>
  <c r="U110" i="1"/>
  <c r="AF110" i="1" s="1"/>
  <c r="R110" i="1"/>
  <c r="BE109" i="1"/>
  <c r="U109" i="1"/>
  <c r="C48" i="11" s="1"/>
  <c r="R109" i="1"/>
  <c r="B48" i="11" s="1"/>
  <c r="BE108" i="1"/>
  <c r="AF108" i="1"/>
  <c r="AE108" i="1"/>
  <c r="M108" i="1"/>
  <c r="G108" i="1"/>
  <c r="BE107" i="1"/>
  <c r="AF107" i="1"/>
  <c r="AE107" i="1"/>
  <c r="W107" i="1"/>
  <c r="M107" i="1"/>
  <c r="G107" i="1"/>
  <c r="AB106" i="1"/>
  <c r="P106" i="1"/>
  <c r="U104" i="1"/>
  <c r="C71" i="11" s="1"/>
  <c r="R104" i="1"/>
  <c r="U103" i="1"/>
  <c r="M103" i="1" s="1"/>
  <c r="R103" i="1"/>
  <c r="BE102" i="1"/>
  <c r="U102" i="1"/>
  <c r="C45" i="11" s="1"/>
  <c r="R102" i="1"/>
  <c r="B45" i="11" s="1"/>
  <c r="BE101" i="1"/>
  <c r="U101" i="1"/>
  <c r="C44" i="11" s="1"/>
  <c r="R101" i="1"/>
  <c r="B44" i="11" s="1"/>
  <c r="BE100" i="1"/>
  <c r="AF100" i="1"/>
  <c r="AE100" i="1"/>
  <c r="M100" i="1"/>
  <c r="G100" i="1"/>
  <c r="BE99" i="1"/>
  <c r="AF99" i="1"/>
  <c r="AE99" i="1"/>
  <c r="W99" i="1"/>
  <c r="M99" i="1"/>
  <c r="G99" i="1"/>
  <c r="AB98" i="1"/>
  <c r="P98" i="1"/>
  <c r="U96" i="1"/>
  <c r="R96" i="1"/>
  <c r="G96" i="1"/>
  <c r="U95" i="1"/>
  <c r="R95" i="1"/>
  <c r="B62" i="11" s="1"/>
  <c r="BE94" i="1"/>
  <c r="U94" i="1"/>
  <c r="C43" i="11" s="1"/>
  <c r="R94" i="1"/>
  <c r="G94" i="1" s="1"/>
  <c r="BE93" i="1"/>
  <c r="U93" i="1"/>
  <c r="R93" i="1"/>
  <c r="G93" i="1"/>
  <c r="BE92" i="1"/>
  <c r="AF92" i="1"/>
  <c r="AE92" i="1"/>
  <c r="M92" i="1"/>
  <c r="G92" i="1"/>
  <c r="BE91" i="1"/>
  <c r="AF91" i="1"/>
  <c r="AE91" i="1"/>
  <c r="W91" i="1"/>
  <c r="M91" i="1"/>
  <c r="G91" i="1"/>
  <c r="AB90" i="1"/>
  <c r="P90" i="1"/>
  <c r="U88" i="1"/>
  <c r="R88" i="1"/>
  <c r="B67" i="11" s="1"/>
  <c r="U87" i="1"/>
  <c r="C66" i="11" s="1"/>
  <c r="R87" i="1"/>
  <c r="BE86" i="1"/>
  <c r="U86" i="1"/>
  <c r="M86" i="1" s="1"/>
  <c r="R86" i="1"/>
  <c r="BE85" i="1"/>
  <c r="U85" i="1"/>
  <c r="R85" i="1"/>
  <c r="G85" i="1"/>
  <c r="BE84" i="1"/>
  <c r="AF84" i="1"/>
  <c r="AE84" i="1"/>
  <c r="M84" i="1"/>
  <c r="G84" i="1"/>
  <c r="BE83" i="1"/>
  <c r="AF83" i="1"/>
  <c r="AE83" i="1"/>
  <c r="W83" i="1"/>
  <c r="M83" i="1"/>
  <c r="G83" i="1"/>
  <c r="AB82" i="1"/>
  <c r="P82" i="1"/>
  <c r="U80" i="1"/>
  <c r="C65" i="11" s="1"/>
  <c r="R80" i="1"/>
  <c r="U79" i="1"/>
  <c r="R79" i="1"/>
  <c r="G79" i="1"/>
  <c r="BE78" i="1"/>
  <c r="U78" i="1"/>
  <c r="R78" i="1"/>
  <c r="G78" i="1" s="1"/>
  <c r="BE77" i="1"/>
  <c r="U77" i="1"/>
  <c r="R77" i="1"/>
  <c r="B40" i="11" s="1"/>
  <c r="BE76" i="1"/>
  <c r="AF76" i="1"/>
  <c r="AE76" i="1"/>
  <c r="M76" i="1"/>
  <c r="G76" i="1"/>
  <c r="BE75" i="1"/>
  <c r="AF75" i="1"/>
  <c r="AE75" i="1"/>
  <c r="W75" i="1"/>
  <c r="M75" i="1"/>
  <c r="G75" i="1"/>
  <c r="AB74" i="1"/>
  <c r="P74" i="1"/>
  <c r="U72" i="1"/>
  <c r="R72" i="1"/>
  <c r="U71" i="1"/>
  <c r="R71" i="1"/>
  <c r="BE70" i="1"/>
  <c r="U70" i="1"/>
  <c r="R70" i="1"/>
  <c r="B37" i="11" s="1"/>
  <c r="BE69" i="1"/>
  <c r="U69" i="1"/>
  <c r="M69" i="1" s="1"/>
  <c r="R69" i="1"/>
  <c r="B36" i="11" s="1"/>
  <c r="BE68" i="1"/>
  <c r="AF68" i="1"/>
  <c r="AE68" i="1"/>
  <c r="M68" i="1"/>
  <c r="G68" i="1"/>
  <c r="BE67" i="1"/>
  <c r="AF67" i="1"/>
  <c r="AE67" i="1"/>
  <c r="W67" i="1"/>
  <c r="M67" i="1"/>
  <c r="G67" i="1"/>
  <c r="AB66" i="1"/>
  <c r="P66" i="1"/>
  <c r="U64" i="1"/>
  <c r="C57" i="11" s="1"/>
  <c r="R64" i="1"/>
  <c r="U63" i="1"/>
  <c r="M63" i="1" s="1"/>
  <c r="R63" i="1"/>
  <c r="G63" i="1" s="1"/>
  <c r="BE62" i="1"/>
  <c r="U62" i="1"/>
  <c r="R62" i="1"/>
  <c r="B35" i="11" s="1"/>
  <c r="BE61" i="1"/>
  <c r="U61" i="1"/>
  <c r="R61" i="1"/>
  <c r="B34" i="11" s="1"/>
  <c r="BE60" i="1"/>
  <c r="AF60" i="1"/>
  <c r="AE60" i="1"/>
  <c r="M60" i="1"/>
  <c r="G60" i="1"/>
  <c r="BE59" i="1"/>
  <c r="AF59" i="1"/>
  <c r="AE59" i="1"/>
  <c r="W59" i="1"/>
  <c r="M59" i="1"/>
  <c r="G59" i="1"/>
  <c r="AB58" i="1"/>
  <c r="P58" i="1"/>
  <c r="U56" i="1"/>
  <c r="R56" i="1"/>
  <c r="U55" i="1"/>
  <c r="R55" i="1"/>
  <c r="BE54" i="1"/>
  <c r="U54" i="1"/>
  <c r="C33" i="11" s="1"/>
  <c r="R54" i="1"/>
  <c r="G54" i="1" s="1"/>
  <c r="BE53" i="1"/>
  <c r="U53" i="1"/>
  <c r="R53" i="1"/>
  <c r="BE52" i="1"/>
  <c r="AF52" i="1"/>
  <c r="AE52" i="1"/>
  <c r="M52" i="1"/>
  <c r="G52" i="1"/>
  <c r="BE51" i="1"/>
  <c r="AF51" i="1"/>
  <c r="AE51" i="1"/>
  <c r="W51" i="1"/>
  <c r="M51" i="1"/>
  <c r="G51" i="1"/>
  <c r="AB50" i="1"/>
  <c r="P50" i="1"/>
  <c r="U48" i="1"/>
  <c r="R48" i="1"/>
  <c r="B51" i="11" s="1"/>
  <c r="U47" i="1"/>
  <c r="R47" i="1"/>
  <c r="BE46" i="1"/>
  <c r="U46" i="1"/>
  <c r="R46" i="1"/>
  <c r="BE45" i="1"/>
  <c r="U45" i="1"/>
  <c r="C30" i="11" s="1"/>
  <c r="R45" i="1"/>
  <c r="BE44" i="1"/>
  <c r="AF44" i="1"/>
  <c r="AE44" i="1"/>
  <c r="M44" i="1"/>
  <c r="G44" i="1"/>
  <c r="BE43" i="1"/>
  <c r="AF43" i="1"/>
  <c r="AE43" i="1"/>
  <c r="W43" i="1"/>
  <c r="M43" i="1"/>
  <c r="G43" i="1"/>
  <c r="AB42" i="1"/>
  <c r="P42" i="1"/>
  <c r="U40" i="1"/>
  <c r="R40" i="1"/>
  <c r="B53" i="11" s="1"/>
  <c r="U39" i="1"/>
  <c r="R39" i="1"/>
  <c r="G39" i="1"/>
  <c r="BE38" i="1"/>
  <c r="U38" i="1"/>
  <c r="R38" i="1"/>
  <c r="BE37" i="1"/>
  <c r="U37" i="1"/>
  <c r="R37" i="1"/>
  <c r="G37" i="1" s="1"/>
  <c r="BE36" i="1"/>
  <c r="AF36" i="1"/>
  <c r="AE36" i="1"/>
  <c r="M36" i="1"/>
  <c r="G36" i="1"/>
  <c r="BE35" i="1"/>
  <c r="AF35" i="1"/>
  <c r="AE35" i="1"/>
  <c r="W35" i="1"/>
  <c r="M35" i="1"/>
  <c r="G35" i="1"/>
  <c r="AB34" i="1"/>
  <c r="X34" i="1"/>
  <c r="X42" i="1" s="1"/>
  <c r="X50" i="1" s="1"/>
  <c r="X58" i="1" s="1"/>
  <c r="X66" i="1" s="1"/>
  <c r="X74" i="1" s="1"/>
  <c r="X82" i="1" s="1"/>
  <c r="X90" i="1" s="1"/>
  <c r="X98" i="1" s="1"/>
  <c r="X106" i="1" s="1"/>
  <c r="X114" i="1" s="1"/>
  <c r="P34" i="1"/>
  <c r="U32" i="1"/>
  <c r="R32" i="1"/>
  <c r="U31" i="1"/>
  <c r="R31" i="1"/>
  <c r="M31" i="1"/>
  <c r="BE30" i="1"/>
  <c r="U30" i="1"/>
  <c r="C29" i="11" s="1"/>
  <c r="R30" i="1"/>
  <c r="B29" i="11" s="1"/>
  <c r="BE29" i="1"/>
  <c r="U29" i="1"/>
  <c r="R29" i="1"/>
  <c r="G29" i="1" s="1"/>
  <c r="BE28" i="1"/>
  <c r="AF28" i="1"/>
  <c r="AE28" i="1"/>
  <c r="M28" i="1"/>
  <c r="G28" i="1"/>
  <c r="BE27" i="1"/>
  <c r="AF27" i="1"/>
  <c r="AE27" i="1"/>
  <c r="W27" i="1"/>
  <c r="M27" i="1"/>
  <c r="G27" i="1"/>
  <c r="AB26" i="1"/>
  <c r="P26" i="1"/>
  <c r="AF37" i="1" l="1"/>
  <c r="C27" i="11"/>
  <c r="M55" i="1"/>
  <c r="C60" i="11"/>
  <c r="M85" i="1"/>
  <c r="C38" i="11"/>
  <c r="AF119" i="1"/>
  <c r="C68" i="11"/>
  <c r="G56" i="1"/>
  <c r="B61" i="11"/>
  <c r="M56" i="1"/>
  <c r="C61" i="11"/>
  <c r="AE78" i="1"/>
  <c r="B41" i="11"/>
  <c r="G71" i="1"/>
  <c r="B58" i="11"/>
  <c r="AF32" i="1"/>
  <c r="C55" i="11"/>
  <c r="AE45" i="1"/>
  <c r="B30" i="11"/>
  <c r="AE54" i="1"/>
  <c r="B33" i="11"/>
  <c r="M71" i="1"/>
  <c r="C58" i="11"/>
  <c r="G118" i="1"/>
  <c r="B47" i="11"/>
  <c r="AE72" i="1"/>
  <c r="B59" i="11"/>
  <c r="AE63" i="1"/>
  <c r="B56" i="11"/>
  <c r="AF72" i="1"/>
  <c r="C59" i="11"/>
  <c r="AE93" i="1"/>
  <c r="B42" i="11"/>
  <c r="G110" i="1"/>
  <c r="B49" i="11"/>
  <c r="M29" i="1"/>
  <c r="C26" i="11"/>
  <c r="M46" i="1"/>
  <c r="C31" i="11"/>
  <c r="AF77" i="1"/>
  <c r="C40" i="11"/>
  <c r="AE102" i="1"/>
  <c r="AF38" i="1"/>
  <c r="C28" i="11"/>
  <c r="M47" i="1"/>
  <c r="C50" i="11"/>
  <c r="AE56" i="1"/>
  <c r="G86" i="1"/>
  <c r="B39" i="11"/>
  <c r="AE32" i="1"/>
  <c r="B55" i="11"/>
  <c r="AF40" i="1"/>
  <c r="C53" i="11"/>
  <c r="AF79" i="1"/>
  <c r="C64" i="11"/>
  <c r="M96" i="1"/>
  <c r="C63" i="11"/>
  <c r="G80" i="1"/>
  <c r="B65" i="11"/>
  <c r="AF88" i="1"/>
  <c r="C67" i="11"/>
  <c r="AE29" i="1"/>
  <c r="B26" i="11"/>
  <c r="AE37" i="1"/>
  <c r="B27" i="11"/>
  <c r="G46" i="1"/>
  <c r="B31" i="11"/>
  <c r="G55" i="1"/>
  <c r="B60" i="11"/>
  <c r="AF63" i="1"/>
  <c r="C56" i="11"/>
  <c r="AE85" i="1"/>
  <c r="B38" i="11"/>
  <c r="M93" i="1"/>
  <c r="C42" i="11"/>
  <c r="G102" i="1"/>
  <c r="M110" i="1"/>
  <c r="C49" i="11"/>
  <c r="G119" i="1"/>
  <c r="B68" i="11"/>
  <c r="G64" i="1"/>
  <c r="B57" i="11"/>
  <c r="G38" i="1"/>
  <c r="B28" i="11"/>
  <c r="AE47" i="1"/>
  <c r="B50" i="11"/>
  <c r="AE94" i="1"/>
  <c r="B43" i="11"/>
  <c r="AE120" i="1"/>
  <c r="B69" i="11"/>
  <c r="AF69" i="1"/>
  <c r="C36" i="11"/>
  <c r="M78" i="1"/>
  <c r="C41" i="11"/>
  <c r="AF86" i="1"/>
  <c r="C39" i="11"/>
  <c r="G112" i="1"/>
  <c r="B73" i="11"/>
  <c r="M48" i="1"/>
  <c r="C51" i="11"/>
  <c r="AF61" i="1"/>
  <c r="C34" i="11"/>
  <c r="AE103" i="1"/>
  <c r="B70" i="11"/>
  <c r="AF112" i="1"/>
  <c r="C73" i="11"/>
  <c r="G31" i="1"/>
  <c r="B54" i="11"/>
  <c r="AE39" i="1"/>
  <c r="B52" i="11"/>
  <c r="G53" i="1"/>
  <c r="B32" i="11"/>
  <c r="AE87" i="1"/>
  <c r="B66" i="11"/>
  <c r="M95" i="1"/>
  <c r="C62" i="11"/>
  <c r="AF103" i="1"/>
  <c r="C70" i="11"/>
  <c r="AF31" i="1"/>
  <c r="C54" i="11"/>
  <c r="M39" i="1"/>
  <c r="C52" i="11"/>
  <c r="AF53" i="1"/>
  <c r="C32" i="11"/>
  <c r="AF70" i="1"/>
  <c r="C37" i="11"/>
  <c r="M79" i="1"/>
  <c r="G104" i="1"/>
  <c r="B71" i="11"/>
  <c r="M32" i="1"/>
  <c r="AF62" i="1"/>
  <c r="C35" i="11"/>
  <c r="AE79" i="1"/>
  <c r="B64" i="11"/>
  <c r="M88" i="1"/>
  <c r="AE96" i="1"/>
  <c r="B63" i="11"/>
  <c r="AF117" i="1"/>
  <c r="C46" i="11"/>
  <c r="G4" i="13"/>
  <c r="G4" i="1"/>
  <c r="W127" i="1"/>
  <c r="AF95" i="1"/>
  <c r="AF78" i="1"/>
  <c r="AF96" i="1"/>
  <c r="AE86" i="1"/>
  <c r="AF93" i="1"/>
  <c r="AE71" i="1"/>
  <c r="G87" i="1"/>
  <c r="AF29" i="1"/>
  <c r="AE118" i="1"/>
  <c r="AE80" i="1"/>
  <c r="AE38" i="1"/>
  <c r="G47" i="1"/>
  <c r="AE53" i="1"/>
  <c r="M61" i="1"/>
  <c r="AE64" i="1"/>
  <c r="AF71" i="1"/>
  <c r="AF85" i="1"/>
  <c r="G103" i="1"/>
  <c r="AE110" i="1"/>
  <c r="AF48" i="1"/>
  <c r="G72" i="1"/>
  <c r="AF47" i="1"/>
  <c r="M77" i="1"/>
  <c r="M119" i="1"/>
  <c r="M40" i="1"/>
  <c r="M70" i="1"/>
  <c r="M112" i="1"/>
  <c r="AE55" i="1"/>
  <c r="AE112" i="1"/>
  <c r="M38" i="1"/>
  <c r="M53" i="1"/>
  <c r="BL115" i="1"/>
  <c r="BJ117" i="1" s="1"/>
  <c r="BH118" i="1"/>
  <c r="BG78" i="1"/>
  <c r="BH107" i="1"/>
  <c r="BH84" i="1"/>
  <c r="BK109" i="1"/>
  <c r="BL108" i="1" s="1"/>
  <c r="BH91" i="1"/>
  <c r="BM99" i="1"/>
  <c r="BJ102" i="1" s="1"/>
  <c r="BK83" i="1"/>
  <c r="BJ84" i="1" s="1"/>
  <c r="BM108" i="1"/>
  <c r="BK110" i="1" s="1"/>
  <c r="BM43" i="1"/>
  <c r="BJ46" i="1" s="1"/>
  <c r="BG27" i="1"/>
  <c r="BG35" i="1"/>
  <c r="BK43" i="1"/>
  <c r="BH108" i="1"/>
  <c r="BG85" i="1"/>
  <c r="BH69" i="1"/>
  <c r="BM45" i="1"/>
  <c r="BL46" i="1" s="1"/>
  <c r="BL27" i="1"/>
  <c r="BJ29" i="1" s="1"/>
  <c r="BG99" i="1"/>
  <c r="BH59" i="1"/>
  <c r="BK29" i="1"/>
  <c r="BL28" i="1" s="1"/>
  <c r="BH93" i="1"/>
  <c r="BK107" i="1"/>
  <c r="BJ108" i="1" s="1"/>
  <c r="BM59" i="1"/>
  <c r="BJ62" i="1" s="1"/>
  <c r="BK45" i="1"/>
  <c r="BL44" i="1" s="1"/>
  <c r="BK93" i="1"/>
  <c r="BL92" i="1" s="1"/>
  <c r="BM92" i="1"/>
  <c r="BK94" i="1" s="1"/>
  <c r="BL51" i="1"/>
  <c r="BJ53" i="1" s="1"/>
  <c r="BM51" i="1"/>
  <c r="BJ54" i="1" s="1"/>
  <c r="BG59" i="1"/>
  <c r="BK67" i="1"/>
  <c r="BM67" i="1"/>
  <c r="BJ70" i="1" s="1"/>
  <c r="BL59" i="1"/>
  <c r="BJ61" i="1" s="1"/>
  <c r="BH67" i="1"/>
  <c r="BH75" i="1"/>
  <c r="BL75" i="1"/>
  <c r="BJ77" i="1" s="1"/>
  <c r="BM109" i="1"/>
  <c r="BL110" i="1" s="1"/>
  <c r="BG77" i="1"/>
  <c r="BK85" i="1"/>
  <c r="BL84" i="1" s="1"/>
  <c r="BM116" i="1"/>
  <c r="BK118" i="1" s="1"/>
  <c r="BK117" i="1"/>
  <c r="BL116" i="1" s="1"/>
  <c r="BG118" i="1"/>
  <c r="BM35" i="1"/>
  <c r="BJ38" i="1" s="1"/>
  <c r="BG92" i="1"/>
  <c r="BM36" i="1"/>
  <c r="BK38" i="1" s="1"/>
  <c r="BK61" i="1"/>
  <c r="BM75" i="1"/>
  <c r="BJ78" i="1" s="1"/>
  <c r="BG54" i="1"/>
  <c r="BG93" i="1"/>
  <c r="BG108" i="1"/>
  <c r="BL35" i="1"/>
  <c r="BJ37" i="1" s="1"/>
  <c r="BM115" i="1"/>
  <c r="BJ118" i="1" s="1"/>
  <c r="BL83" i="1"/>
  <c r="BJ85" i="1" s="1"/>
  <c r="BH78" i="1"/>
  <c r="BH53" i="1"/>
  <c r="BG69" i="1"/>
  <c r="BG86" i="1"/>
  <c r="BM53" i="1"/>
  <c r="BL54" i="1" s="1"/>
  <c r="BG70" i="1"/>
  <c r="BH86" i="1"/>
  <c r="BG29" i="1"/>
  <c r="BK53" i="1"/>
  <c r="BL52" i="1" s="1"/>
  <c r="BL99" i="1"/>
  <c r="BJ101" i="1" s="1"/>
  <c r="BG107" i="1"/>
  <c r="BH45" i="1"/>
  <c r="BM77" i="1"/>
  <c r="BL78" i="1" s="1"/>
  <c r="BG84" i="1"/>
  <c r="BG28" i="1"/>
  <c r="BM117" i="1"/>
  <c r="BL118" i="1" s="1"/>
  <c r="BG67" i="1"/>
  <c r="BG75" i="1"/>
  <c r="BM84" i="1"/>
  <c r="BM100" i="1"/>
  <c r="BK102" i="1" s="1"/>
  <c r="BG53" i="1"/>
  <c r="BL67" i="1"/>
  <c r="BH83" i="1"/>
  <c r="BL91" i="1"/>
  <c r="BH116" i="1"/>
  <c r="BG45" i="1"/>
  <c r="M45" i="1"/>
  <c r="AF45" i="1"/>
  <c r="BG76" i="1"/>
  <c r="BH77" i="1"/>
  <c r="M120" i="1"/>
  <c r="AF120" i="1"/>
  <c r="BH28" i="1"/>
  <c r="BM68" i="1"/>
  <c r="BK70" i="1" s="1"/>
  <c r="BG68" i="1"/>
  <c r="BK37" i="1"/>
  <c r="AE48" i="1"/>
  <c r="G48" i="1"/>
  <c r="BH70" i="1"/>
  <c r="BM69" i="1"/>
  <c r="BM44" i="1"/>
  <c r="BK46" i="1" s="1"/>
  <c r="BH46" i="1"/>
  <c r="BG116" i="1"/>
  <c r="BH115" i="1"/>
  <c r="BK115" i="1"/>
  <c r="M54" i="1"/>
  <c r="AF54" i="1"/>
  <c r="BG46" i="1"/>
  <c r="BH44" i="1"/>
  <c r="BH36" i="1"/>
  <c r="AE46" i="1"/>
  <c r="G62" i="1"/>
  <c r="AE62" i="1"/>
  <c r="BK69" i="1"/>
  <c r="BL68" i="1" s="1"/>
  <c r="M109" i="1"/>
  <c r="AF109" i="1"/>
  <c r="BG62" i="1"/>
  <c r="BH61" i="1"/>
  <c r="BH30" i="1"/>
  <c r="G32" i="1"/>
  <c r="BG43" i="1"/>
  <c r="BH54" i="1"/>
  <c r="BM52" i="1"/>
  <c r="BK54" i="1" s="1"/>
  <c r="BK35" i="1"/>
  <c r="BJ36" i="1" s="1"/>
  <c r="BH35" i="1"/>
  <c r="AE40" i="1"/>
  <c r="G40" i="1"/>
  <c r="BH29" i="1"/>
  <c r="BG30" i="1"/>
  <c r="BM28" i="1"/>
  <c r="BK30" i="1" s="1"/>
  <c r="BL43" i="1"/>
  <c r="AF30" i="1"/>
  <c r="M30" i="1"/>
  <c r="BH52" i="1"/>
  <c r="BK51" i="1"/>
  <c r="BG51" i="1"/>
  <c r="BK77" i="1"/>
  <c r="BH76" i="1"/>
  <c r="BM29" i="1"/>
  <c r="BL30" i="1" s="1"/>
  <c r="AE31" i="1"/>
  <c r="BG36" i="1"/>
  <c r="AF39" i="1"/>
  <c r="AF46" i="1"/>
  <c r="BK27" i="1"/>
  <c r="BH27" i="1"/>
  <c r="BH37" i="1"/>
  <c r="BG38" i="1"/>
  <c r="BH62" i="1"/>
  <c r="BM61" i="1"/>
  <c r="BG61" i="1"/>
  <c r="G70" i="1"/>
  <c r="AE70" i="1"/>
  <c r="BG37" i="1"/>
  <c r="BH38" i="1"/>
  <c r="M37" i="1"/>
  <c r="BG44" i="1"/>
  <c r="BH43" i="1"/>
  <c r="M62" i="1"/>
  <c r="BH68" i="1"/>
  <c r="M72" i="1"/>
  <c r="AF80" i="1"/>
  <c r="M80" i="1"/>
  <c r="M87" i="1"/>
  <c r="AF87" i="1"/>
  <c r="BG52" i="1"/>
  <c r="BM60" i="1"/>
  <c r="BK62" i="1" s="1"/>
  <c r="AF64" i="1"/>
  <c r="M64" i="1"/>
  <c r="BG94" i="1"/>
  <c r="BM101" i="1"/>
  <c r="BL102" i="1" s="1"/>
  <c r="BG101" i="1"/>
  <c r="BH102" i="1"/>
  <c r="BH51" i="1"/>
  <c r="AE77" i="1"/>
  <c r="G77" i="1"/>
  <c r="BH101" i="1"/>
  <c r="BG102" i="1"/>
  <c r="BK101" i="1"/>
  <c r="BL100" i="1" s="1"/>
  <c r="G45" i="1"/>
  <c r="AF104" i="1"/>
  <c r="M104" i="1"/>
  <c r="BM107" i="1"/>
  <c r="BJ110" i="1" s="1"/>
  <c r="BH110" i="1"/>
  <c r="AF56" i="1"/>
  <c r="AE104" i="1"/>
  <c r="AF111" i="1"/>
  <c r="M111" i="1"/>
  <c r="M118" i="1"/>
  <c r="AF118" i="1"/>
  <c r="AE30" i="1"/>
  <c r="G30" i="1"/>
  <c r="BM37" i="1"/>
  <c r="AF55" i="1"/>
  <c r="AE88" i="1"/>
  <c r="G88" i="1"/>
  <c r="BH60" i="1"/>
  <c r="BH92" i="1"/>
  <c r="BK91" i="1"/>
  <c r="BG91" i="1"/>
  <c r="BH100" i="1"/>
  <c r="BK99" i="1"/>
  <c r="M101" i="1"/>
  <c r="AF101" i="1"/>
  <c r="G61" i="1"/>
  <c r="AE61" i="1"/>
  <c r="BG60" i="1"/>
  <c r="BG100" i="1"/>
  <c r="BH99" i="1"/>
  <c r="BH109" i="1"/>
  <c r="BL107" i="1"/>
  <c r="AE69" i="1"/>
  <c r="G69" i="1"/>
  <c r="BM83" i="1"/>
  <c r="BG83" i="1"/>
  <c r="M94" i="1"/>
  <c r="AF94" i="1"/>
  <c r="G117" i="1"/>
  <c r="AE117" i="1"/>
  <c r="G95" i="1"/>
  <c r="AE95" i="1"/>
  <c r="BM27" i="1"/>
  <c r="BK59" i="1"/>
  <c r="BM91" i="1"/>
  <c r="BJ94" i="1" s="1"/>
  <c r="BH94" i="1"/>
  <c r="BM93" i="1"/>
  <c r="G101" i="1"/>
  <c r="AE101" i="1"/>
  <c r="BK75" i="1"/>
  <c r="BJ76" i="1" s="1"/>
  <c r="BH85" i="1"/>
  <c r="M102" i="1"/>
  <c r="AF102" i="1"/>
  <c r="BM76" i="1"/>
  <c r="BK78" i="1" s="1"/>
  <c r="BM85" i="1"/>
  <c r="AE111" i="1"/>
  <c r="G111" i="1"/>
  <c r="BG109" i="1"/>
  <c r="AE109" i="1"/>
  <c r="G109" i="1"/>
  <c r="BG115" i="1"/>
  <c r="BH117" i="1"/>
  <c r="BG117" i="1"/>
  <c r="BG110" i="1"/>
  <c r="BS43" i="1" l="1"/>
  <c r="BI107" i="1"/>
  <c r="W128" i="1"/>
  <c r="BT91" i="1"/>
  <c r="BI85" i="1"/>
  <c r="BI78" i="1"/>
  <c r="BI118" i="1"/>
  <c r="BI84" i="1"/>
  <c r="BT118" i="1"/>
  <c r="BI37" i="1"/>
  <c r="BJ93" i="1"/>
  <c r="BF93" i="1" s="1"/>
  <c r="BR61" i="1"/>
  <c r="BI35" i="1"/>
  <c r="BI59" i="1"/>
  <c r="BI91" i="1"/>
  <c r="BS102" i="1"/>
  <c r="BU108" i="1"/>
  <c r="BR83" i="1"/>
  <c r="BI67" i="1"/>
  <c r="BT46" i="1"/>
  <c r="BJ44" i="1"/>
  <c r="BR44" i="1" s="1"/>
  <c r="BU117" i="1"/>
  <c r="BI108" i="1"/>
  <c r="BS46" i="1"/>
  <c r="BU110" i="1"/>
  <c r="BI92" i="1"/>
  <c r="BS67" i="1"/>
  <c r="BT43" i="1"/>
  <c r="BS84" i="1"/>
  <c r="BI70" i="1"/>
  <c r="BU44" i="1"/>
  <c r="BI69" i="1"/>
  <c r="BU109" i="1"/>
  <c r="BR107" i="1"/>
  <c r="BU118" i="1"/>
  <c r="BI27" i="1"/>
  <c r="BI117" i="1"/>
  <c r="BI75" i="1"/>
  <c r="BR29" i="1"/>
  <c r="BI93" i="1"/>
  <c r="BI53" i="1"/>
  <c r="BU45" i="1"/>
  <c r="BJ68" i="1"/>
  <c r="BS68" i="1" s="1"/>
  <c r="BI101" i="1"/>
  <c r="BT27" i="1"/>
  <c r="BI99" i="1"/>
  <c r="BU92" i="1"/>
  <c r="BS38" i="1"/>
  <c r="BT115" i="1"/>
  <c r="BI29" i="1"/>
  <c r="BT51" i="1"/>
  <c r="BR117" i="1"/>
  <c r="BI77" i="1"/>
  <c r="BU77" i="1"/>
  <c r="BU61" i="1"/>
  <c r="BK86" i="1"/>
  <c r="BI45" i="1"/>
  <c r="BU52" i="1"/>
  <c r="BF83" i="1"/>
  <c r="BF67" i="1"/>
  <c r="BT59" i="1"/>
  <c r="BU100" i="1"/>
  <c r="BU84" i="1"/>
  <c r="BF84" i="1"/>
  <c r="BU68" i="1"/>
  <c r="BR84" i="1"/>
  <c r="BT35" i="1"/>
  <c r="BJ45" i="1"/>
  <c r="BR45" i="1" s="1"/>
  <c r="BT78" i="1"/>
  <c r="BF117" i="1"/>
  <c r="BF43" i="1"/>
  <c r="BL60" i="1"/>
  <c r="BU60" i="1" s="1"/>
  <c r="BI61" i="1"/>
  <c r="BL76" i="1"/>
  <c r="BU76" i="1" s="1"/>
  <c r="BI28" i="1"/>
  <c r="BI54" i="1"/>
  <c r="BU53" i="1"/>
  <c r="BT75" i="1"/>
  <c r="BU29" i="1"/>
  <c r="BU85" i="1"/>
  <c r="BF61" i="1"/>
  <c r="BI110" i="1"/>
  <c r="BI100" i="1"/>
  <c r="BU28" i="1"/>
  <c r="BU116" i="1"/>
  <c r="BJ30" i="1"/>
  <c r="BT30" i="1" s="1"/>
  <c r="BT67" i="1"/>
  <c r="BF29" i="1"/>
  <c r="BI86" i="1"/>
  <c r="BI46" i="1"/>
  <c r="BJ109" i="1"/>
  <c r="BR109" i="1" s="1"/>
  <c r="BI60" i="1"/>
  <c r="BT99" i="1"/>
  <c r="BF107" i="1"/>
  <c r="BT117" i="1"/>
  <c r="BS118" i="1"/>
  <c r="BI83" i="1"/>
  <c r="BT54" i="1"/>
  <c r="BT37" i="1"/>
  <c r="BT29" i="1"/>
  <c r="BS107" i="1"/>
  <c r="BF118" i="1"/>
  <c r="BR67" i="1"/>
  <c r="BI116" i="1"/>
  <c r="BJ69" i="1"/>
  <c r="BR69" i="1" s="1"/>
  <c r="BU78" i="1"/>
  <c r="BS78" i="1"/>
  <c r="BF78" i="1"/>
  <c r="BS76" i="1"/>
  <c r="BT102" i="1"/>
  <c r="BF102" i="1"/>
  <c r="BU102" i="1"/>
  <c r="BI94" i="1"/>
  <c r="BS54" i="1"/>
  <c r="BU54" i="1"/>
  <c r="BF37" i="1"/>
  <c r="BU37" i="1"/>
  <c r="BR37" i="1"/>
  <c r="BR85" i="1"/>
  <c r="BT85" i="1"/>
  <c r="BF85" i="1"/>
  <c r="BS115" i="1"/>
  <c r="BR115" i="1"/>
  <c r="BF115" i="1"/>
  <c r="BU30" i="1"/>
  <c r="BR51" i="1"/>
  <c r="BS51" i="1"/>
  <c r="BJ52" i="1"/>
  <c r="BF51" i="1"/>
  <c r="BU93" i="1"/>
  <c r="BJ86" i="1"/>
  <c r="BT101" i="1"/>
  <c r="BR101" i="1"/>
  <c r="BF101" i="1"/>
  <c r="BI44" i="1"/>
  <c r="BT77" i="1"/>
  <c r="BR77" i="1"/>
  <c r="BF77" i="1"/>
  <c r="BL62" i="1"/>
  <c r="BT62" i="1" s="1"/>
  <c r="BI38" i="1"/>
  <c r="BS36" i="1"/>
  <c r="BU69" i="1"/>
  <c r="BF53" i="1"/>
  <c r="BT53" i="1"/>
  <c r="BR53" i="1"/>
  <c r="BF27" i="1"/>
  <c r="BR27" i="1"/>
  <c r="BS27" i="1"/>
  <c r="BS62" i="1"/>
  <c r="BI62" i="1"/>
  <c r="BI36" i="1"/>
  <c r="BF46" i="1"/>
  <c r="BU46" i="1"/>
  <c r="BI43" i="1"/>
  <c r="BI52" i="1"/>
  <c r="BF54" i="1"/>
  <c r="BL36" i="1"/>
  <c r="BU36" i="1" s="1"/>
  <c r="BL70" i="1"/>
  <c r="BT70" i="1" s="1"/>
  <c r="BF59" i="1"/>
  <c r="BJ60" i="1"/>
  <c r="BS59" i="1"/>
  <c r="BR59" i="1"/>
  <c r="BS94" i="1"/>
  <c r="BI102" i="1"/>
  <c r="BJ92" i="1"/>
  <c r="BR91" i="1"/>
  <c r="BS91" i="1"/>
  <c r="BF91" i="1"/>
  <c r="BF108" i="1"/>
  <c r="BS108" i="1"/>
  <c r="BR108" i="1"/>
  <c r="BI115" i="1"/>
  <c r="BT61" i="1"/>
  <c r="BL86" i="1"/>
  <c r="BR43" i="1"/>
  <c r="BI109" i="1"/>
  <c r="BT107" i="1"/>
  <c r="BF35" i="1"/>
  <c r="BS35" i="1"/>
  <c r="BR35" i="1"/>
  <c r="BJ116" i="1"/>
  <c r="BS70" i="1"/>
  <c r="BS83" i="1"/>
  <c r="BT83" i="1"/>
  <c r="BF99" i="1"/>
  <c r="BS99" i="1"/>
  <c r="BR99" i="1"/>
  <c r="BJ100" i="1"/>
  <c r="BL94" i="1"/>
  <c r="BT94" i="1" s="1"/>
  <c r="BI68" i="1"/>
  <c r="BL38" i="1"/>
  <c r="BS75" i="1"/>
  <c r="BR75" i="1"/>
  <c r="BF75" i="1"/>
  <c r="BF110" i="1"/>
  <c r="BT110" i="1"/>
  <c r="BS110" i="1"/>
  <c r="BU101" i="1"/>
  <c r="BJ28" i="1"/>
  <c r="BI51" i="1"/>
  <c r="BI30" i="1"/>
  <c r="BI76" i="1"/>
  <c r="BN78" i="1" l="1"/>
  <c r="BO107" i="1"/>
  <c r="BP107" i="1"/>
  <c r="BO85" i="1"/>
  <c r="BQ35" i="1"/>
  <c r="BF45" i="1"/>
  <c r="BN36" i="1"/>
  <c r="BR93" i="1"/>
  <c r="W129" i="1"/>
  <c r="BP67" i="1"/>
  <c r="BP83" i="1"/>
  <c r="BT93" i="1"/>
  <c r="BN37" i="1"/>
  <c r="BP84" i="1"/>
  <c r="BQ84" i="1"/>
  <c r="BQ117" i="1"/>
  <c r="BQ91" i="1"/>
  <c r="BP59" i="1"/>
  <c r="BP91" i="1"/>
  <c r="BN93" i="1"/>
  <c r="BP35" i="1"/>
  <c r="BO59" i="1"/>
  <c r="BF44" i="1"/>
  <c r="BN69" i="1"/>
  <c r="BP70" i="1"/>
  <c r="BS44" i="1"/>
  <c r="BO110" i="1"/>
  <c r="BP92" i="1"/>
  <c r="BQ67" i="1"/>
  <c r="BO101" i="1"/>
  <c r="BU86" i="1"/>
  <c r="BN70" i="1"/>
  <c r="BN29" i="1"/>
  <c r="BQ45" i="1"/>
  <c r="BP54" i="1"/>
  <c r="BF68" i="1"/>
  <c r="BR68" i="1"/>
  <c r="BN108" i="1"/>
  <c r="BN92" i="1"/>
  <c r="BO93" i="1"/>
  <c r="BN101" i="1"/>
  <c r="BO91" i="1"/>
  <c r="BQ69" i="1"/>
  <c r="BP118" i="1"/>
  <c r="BO27" i="1"/>
  <c r="BN102" i="1"/>
  <c r="BP75" i="1"/>
  <c r="BP100" i="1"/>
  <c r="BQ75" i="1"/>
  <c r="BN77" i="1"/>
  <c r="BO117" i="1"/>
  <c r="BP27" i="1"/>
  <c r="BF109" i="1"/>
  <c r="BZ107" i="1" s="1"/>
  <c r="CB107" i="1" s="1"/>
  <c r="BF94" i="1"/>
  <c r="BT109" i="1"/>
  <c r="BP38" i="1"/>
  <c r="BQ37" i="1"/>
  <c r="BN100" i="1"/>
  <c r="BP99" i="1"/>
  <c r="BO99" i="1"/>
  <c r="BQ107" i="1"/>
  <c r="BN60" i="1"/>
  <c r="BQ60" i="1"/>
  <c r="BP78" i="1"/>
  <c r="BQ116" i="1"/>
  <c r="BN38" i="1"/>
  <c r="BQ77" i="1"/>
  <c r="BO118" i="1"/>
  <c r="BP116" i="1"/>
  <c r="BR76" i="1"/>
  <c r="BN28" i="1"/>
  <c r="BP60" i="1"/>
  <c r="BP28" i="1"/>
  <c r="BN61" i="1"/>
  <c r="BO83" i="1"/>
  <c r="BQ28" i="1"/>
  <c r="BO61" i="1"/>
  <c r="BN94" i="1"/>
  <c r="BO29" i="1"/>
  <c r="BN85" i="1"/>
  <c r="BQ53" i="1"/>
  <c r="BT45" i="1"/>
  <c r="BP86" i="1"/>
  <c r="BN84" i="1"/>
  <c r="BN110" i="1"/>
  <c r="BF76" i="1"/>
  <c r="BT69" i="1"/>
  <c r="BQ108" i="1"/>
  <c r="BO35" i="1"/>
  <c r="BO102" i="1"/>
  <c r="BQ100" i="1"/>
  <c r="BN109" i="1"/>
  <c r="BP46" i="1"/>
  <c r="BF69" i="1"/>
  <c r="BF36" i="1"/>
  <c r="BU62" i="1"/>
  <c r="BQ85" i="1"/>
  <c r="BQ99" i="1"/>
  <c r="BQ83" i="1"/>
  <c r="BN86" i="1"/>
  <c r="BO86" i="1"/>
  <c r="BQ27" i="1"/>
  <c r="BP102" i="1"/>
  <c r="BR36" i="1"/>
  <c r="BQ101" i="1"/>
  <c r="BU70" i="1"/>
  <c r="BN30" i="1"/>
  <c r="BF62" i="1"/>
  <c r="BF30" i="1"/>
  <c r="BS30" i="1"/>
  <c r="BP94" i="1"/>
  <c r="BQ93" i="1"/>
  <c r="BN62" i="1"/>
  <c r="BQ59" i="1"/>
  <c r="BU94" i="1"/>
  <c r="BO62" i="1"/>
  <c r="BR52" i="1"/>
  <c r="BS52" i="1"/>
  <c r="BF52" i="1"/>
  <c r="BZ51" i="1" s="1"/>
  <c r="BT38" i="1"/>
  <c r="BU38" i="1"/>
  <c r="BF38" i="1"/>
  <c r="BT86" i="1"/>
  <c r="BS86" i="1"/>
  <c r="BF86" i="1"/>
  <c r="BQ109" i="1"/>
  <c r="BP110" i="1"/>
  <c r="BP108" i="1"/>
  <c r="BO109" i="1"/>
  <c r="BO53" i="1"/>
  <c r="BO54" i="1"/>
  <c r="BQ52" i="1"/>
  <c r="BP52" i="1"/>
  <c r="BN117" i="1"/>
  <c r="BN118" i="1"/>
  <c r="BN116" i="1"/>
  <c r="BQ115" i="1"/>
  <c r="BP115" i="1"/>
  <c r="BO115" i="1"/>
  <c r="BF70" i="1"/>
  <c r="BO46" i="1"/>
  <c r="BP44" i="1"/>
  <c r="BQ44" i="1"/>
  <c r="BO45" i="1"/>
  <c r="BQ29" i="1"/>
  <c r="BF100" i="1"/>
  <c r="BS100" i="1"/>
  <c r="BR100" i="1"/>
  <c r="BR92" i="1"/>
  <c r="BS92" i="1"/>
  <c r="BF92" i="1"/>
  <c r="BO78" i="1"/>
  <c r="BO77" i="1"/>
  <c r="BQ76" i="1"/>
  <c r="BP76" i="1"/>
  <c r="BO75" i="1"/>
  <c r="BN76" i="1"/>
  <c r="BN53" i="1"/>
  <c r="BQ51" i="1"/>
  <c r="BP51" i="1"/>
  <c r="BO51" i="1"/>
  <c r="BN54" i="1"/>
  <c r="BN52" i="1"/>
  <c r="BQ68" i="1"/>
  <c r="BO70" i="1"/>
  <c r="BO69" i="1"/>
  <c r="BP68" i="1"/>
  <c r="BO67" i="1"/>
  <c r="BN68" i="1"/>
  <c r="BO30" i="1"/>
  <c r="BP30" i="1"/>
  <c r="BQ61" i="1"/>
  <c r="BQ92" i="1"/>
  <c r="BS28" i="1"/>
  <c r="BR28" i="1"/>
  <c r="BF28" i="1"/>
  <c r="BP62" i="1"/>
  <c r="BO94" i="1"/>
  <c r="BF60" i="1"/>
  <c r="BS60" i="1"/>
  <c r="BR60" i="1"/>
  <c r="BF116" i="1"/>
  <c r="BZ115" i="1" s="1"/>
  <c r="BS116" i="1"/>
  <c r="BR116" i="1"/>
  <c r="BN46" i="1"/>
  <c r="BN44" i="1"/>
  <c r="BQ43" i="1"/>
  <c r="BP43" i="1"/>
  <c r="BO43" i="1"/>
  <c r="BN45" i="1"/>
  <c r="BO38" i="1"/>
  <c r="BQ36" i="1"/>
  <c r="BP36" i="1"/>
  <c r="BO37" i="1"/>
  <c r="BZ43" i="1" l="1"/>
  <c r="CA43" i="1" s="1"/>
  <c r="W130" i="1"/>
  <c r="BZ27" i="1"/>
  <c r="CC27" i="1" s="1"/>
  <c r="BZ35" i="1"/>
  <c r="CA35" i="1" s="1"/>
  <c r="BZ75" i="1"/>
  <c r="CC75" i="1" s="1"/>
  <c r="BZ91" i="1"/>
  <c r="CC91" i="1" s="1"/>
  <c r="BZ99" i="1"/>
  <c r="CD99" i="1" s="1"/>
  <c r="CC107" i="1"/>
  <c r="CG107" i="1" s="1"/>
  <c r="CO107" i="1" s="1"/>
  <c r="BY107" i="1" s="1"/>
  <c r="BV110" i="1" s="1"/>
  <c r="CD107" i="1"/>
  <c r="CI107" i="1" s="1"/>
  <c r="CO108" i="1" s="1"/>
  <c r="BY108" i="1" s="1"/>
  <c r="BW110" i="1" s="1"/>
  <c r="CA107" i="1"/>
  <c r="CC51" i="1"/>
  <c r="CD51" i="1"/>
  <c r="CA51" i="1"/>
  <c r="CB51" i="1"/>
  <c r="CB115" i="1"/>
  <c r="CA115" i="1"/>
  <c r="CD115" i="1"/>
  <c r="CC115" i="1"/>
  <c r="BZ83" i="1"/>
  <c r="BZ59" i="1"/>
  <c r="BZ67" i="1"/>
  <c r="CB43" i="1" l="1"/>
  <c r="CD43" i="1"/>
  <c r="CH43" i="1" s="1"/>
  <c r="CN44" i="1" s="1"/>
  <c r="BX44" i="1" s="1"/>
  <c r="BW45" i="1" s="1"/>
  <c r="CC43" i="1"/>
  <c r="CF43" i="1" s="1"/>
  <c r="CN43" i="1" s="1"/>
  <c r="BX43" i="1" s="1"/>
  <c r="BV45" i="1" s="1"/>
  <c r="W131" i="1"/>
  <c r="CD27" i="1"/>
  <c r="CJ27" i="1" s="1"/>
  <c r="CO29" i="1" s="1"/>
  <c r="BY29" i="1" s="1"/>
  <c r="BX30" i="1" s="1"/>
  <c r="CH107" i="1"/>
  <c r="CN108" i="1" s="1"/>
  <c r="BX108" i="1" s="1"/>
  <c r="BW109" i="1" s="1"/>
  <c r="CB35" i="1"/>
  <c r="CE35" i="1" s="1"/>
  <c r="CM35" i="1" s="1"/>
  <c r="BW35" i="1" s="1"/>
  <c r="CD35" i="1"/>
  <c r="CH35" i="1" s="1"/>
  <c r="CN36" i="1" s="1"/>
  <c r="BX36" i="1" s="1"/>
  <c r="BW37" i="1" s="1"/>
  <c r="CC35" i="1"/>
  <c r="CA27" i="1"/>
  <c r="CF27" i="1" s="1"/>
  <c r="CN27" i="1" s="1"/>
  <c r="BX27" i="1" s="1"/>
  <c r="BV29" i="1" s="1"/>
  <c r="CB27" i="1"/>
  <c r="CD75" i="1"/>
  <c r="CJ75" i="1" s="1"/>
  <c r="CO77" i="1" s="1"/>
  <c r="BY77" i="1" s="1"/>
  <c r="BX78" i="1" s="1"/>
  <c r="CA75" i="1"/>
  <c r="CF75" i="1" s="1"/>
  <c r="CN75" i="1" s="1"/>
  <c r="BX75" i="1" s="1"/>
  <c r="BV77" i="1" s="1"/>
  <c r="CB75" i="1"/>
  <c r="CG75" i="1" s="1"/>
  <c r="CO75" i="1" s="1"/>
  <c r="BY75" i="1" s="1"/>
  <c r="BV78" i="1" s="1"/>
  <c r="CD91" i="1"/>
  <c r="CJ91" i="1" s="1"/>
  <c r="CO93" i="1" s="1"/>
  <c r="BY93" i="1" s="1"/>
  <c r="BX94" i="1" s="1"/>
  <c r="CB99" i="1"/>
  <c r="CI99" i="1" s="1"/>
  <c r="CO100" i="1" s="1"/>
  <c r="BY100" i="1" s="1"/>
  <c r="BW102" i="1" s="1"/>
  <c r="CC99" i="1"/>
  <c r="CJ99" i="1" s="1"/>
  <c r="CO101" i="1" s="1"/>
  <c r="BY101" i="1" s="1"/>
  <c r="BX102" i="1" s="1"/>
  <c r="CA99" i="1"/>
  <c r="CB91" i="1"/>
  <c r="CG91" i="1" s="1"/>
  <c r="CO91" i="1" s="1"/>
  <c r="BY91" i="1" s="1"/>
  <c r="BV94" i="1" s="1"/>
  <c r="CA91" i="1"/>
  <c r="CJ51" i="1"/>
  <c r="CO53" i="1" s="1"/>
  <c r="BY53" i="1" s="1"/>
  <c r="BX54" i="1" s="1"/>
  <c r="CJ115" i="1"/>
  <c r="CO117" i="1" s="1"/>
  <c r="BY117" i="1" s="1"/>
  <c r="BX118" i="1" s="1"/>
  <c r="CF107" i="1"/>
  <c r="CN107" i="1" s="1"/>
  <c r="BX107" i="1" s="1"/>
  <c r="BV109" i="1" s="1"/>
  <c r="CE107" i="1"/>
  <c r="CM107" i="1" s="1"/>
  <c r="BW107" i="1" s="1"/>
  <c r="BV108" i="1" s="1"/>
  <c r="CG115" i="1"/>
  <c r="CO115" i="1" s="1"/>
  <c r="BY115" i="1" s="1"/>
  <c r="BV118" i="1" s="1"/>
  <c r="CH51" i="1"/>
  <c r="CN52" i="1" s="1"/>
  <c r="BX52" i="1" s="1"/>
  <c r="BW53" i="1" s="1"/>
  <c r="CJ107" i="1"/>
  <c r="CO109" i="1" s="1"/>
  <c r="BY109" i="1" s="1"/>
  <c r="BX110" i="1" s="1"/>
  <c r="BD110" i="1" s="1"/>
  <c r="CF115" i="1"/>
  <c r="CN115" i="1" s="1"/>
  <c r="BX115" i="1" s="1"/>
  <c r="BV117" i="1" s="1"/>
  <c r="CH115" i="1"/>
  <c r="CN116" i="1" s="1"/>
  <c r="BX116" i="1" s="1"/>
  <c r="BW117" i="1" s="1"/>
  <c r="CI115" i="1"/>
  <c r="CO116" i="1" s="1"/>
  <c r="BY116" i="1" s="1"/>
  <c r="BW118" i="1" s="1"/>
  <c r="CE51" i="1"/>
  <c r="CM51" i="1" s="1"/>
  <c r="BW51" i="1" s="1"/>
  <c r="BV52" i="1" s="1"/>
  <c r="CF51" i="1"/>
  <c r="CN51" i="1" s="1"/>
  <c r="BX51" i="1" s="1"/>
  <c r="BV53" i="1" s="1"/>
  <c r="CB83" i="1"/>
  <c r="CD83" i="1"/>
  <c r="CC83" i="1"/>
  <c r="CA83" i="1"/>
  <c r="CG51" i="1"/>
  <c r="CO51" i="1" s="1"/>
  <c r="BY51" i="1" s="1"/>
  <c r="BV54" i="1" s="1"/>
  <c r="CE115" i="1"/>
  <c r="CB67" i="1"/>
  <c r="CD67" i="1"/>
  <c r="CC67" i="1"/>
  <c r="CA67" i="1"/>
  <c r="CI51" i="1"/>
  <c r="CO52" i="1" s="1"/>
  <c r="BY52" i="1" s="1"/>
  <c r="BW54" i="1" s="1"/>
  <c r="CD59" i="1"/>
  <c r="CC59" i="1"/>
  <c r="CB59" i="1"/>
  <c r="CA59" i="1"/>
  <c r="CG43" i="1" l="1"/>
  <c r="CO43" i="1" s="1"/>
  <c r="BY43" i="1" s="1"/>
  <c r="BV46" i="1" s="1"/>
  <c r="CE43" i="1"/>
  <c r="CM43" i="1" s="1"/>
  <c r="BW43" i="1" s="1"/>
  <c r="CI43" i="1"/>
  <c r="CO44" i="1" s="1"/>
  <c r="BY44" i="1" s="1"/>
  <c r="BW46" i="1" s="1"/>
  <c r="CJ43" i="1"/>
  <c r="CO45" i="1" s="1"/>
  <c r="BY45" i="1" s="1"/>
  <c r="BD118" i="1"/>
  <c r="CI27" i="1"/>
  <c r="CO28" i="1" s="1"/>
  <c r="BY28" i="1" s="1"/>
  <c r="BW30" i="1" s="1"/>
  <c r="W132" i="1"/>
  <c r="BD52" i="1"/>
  <c r="BD109" i="1"/>
  <c r="BD117" i="1"/>
  <c r="BD108" i="1"/>
  <c r="CE91" i="1"/>
  <c r="CM91" i="1" s="1"/>
  <c r="BW91" i="1" s="1"/>
  <c r="BD107" i="1"/>
  <c r="BD54" i="1"/>
  <c r="BD53" i="1"/>
  <c r="BV36" i="1"/>
  <c r="CJ83" i="1"/>
  <c r="CO85" i="1" s="1"/>
  <c r="BY85" i="1" s="1"/>
  <c r="BX86" i="1" s="1"/>
  <c r="CJ35" i="1"/>
  <c r="CO37" i="1" s="1"/>
  <c r="BY37" i="1" s="1"/>
  <c r="BX38" i="1" s="1"/>
  <c r="CI35" i="1"/>
  <c r="CO36" i="1" s="1"/>
  <c r="BY36" i="1" s="1"/>
  <c r="BW38" i="1" s="1"/>
  <c r="CG35" i="1"/>
  <c r="CO35" i="1" s="1"/>
  <c r="BY35" i="1" s="1"/>
  <c r="BV38" i="1" s="1"/>
  <c r="CF35" i="1"/>
  <c r="CN35" i="1" s="1"/>
  <c r="BX35" i="1" s="1"/>
  <c r="BV37" i="1" s="1"/>
  <c r="CF99" i="1"/>
  <c r="CN99" i="1" s="1"/>
  <c r="BX99" i="1" s="1"/>
  <c r="BV101" i="1" s="1"/>
  <c r="BD51" i="1"/>
  <c r="CG99" i="1"/>
  <c r="CO99" i="1" s="1"/>
  <c r="BY99" i="1" s="1"/>
  <c r="BV102" i="1" s="1"/>
  <c r="BD102" i="1" s="1"/>
  <c r="CH27" i="1"/>
  <c r="CN28" i="1" s="1"/>
  <c r="BX28" i="1" s="1"/>
  <c r="BW29" i="1" s="1"/>
  <c r="BD29" i="1" s="1"/>
  <c r="CF91" i="1"/>
  <c r="CN91" i="1" s="1"/>
  <c r="BX91" i="1" s="1"/>
  <c r="BV93" i="1" s="1"/>
  <c r="CG27" i="1"/>
  <c r="CO27" i="1" s="1"/>
  <c r="BY27" i="1" s="1"/>
  <c r="BV30" i="1" s="1"/>
  <c r="CE75" i="1"/>
  <c r="CM75" i="1" s="1"/>
  <c r="BW75" i="1" s="1"/>
  <c r="CE27" i="1"/>
  <c r="CM27" i="1" s="1"/>
  <c r="BW27" i="1" s="1"/>
  <c r="CH75" i="1"/>
  <c r="CN76" i="1" s="1"/>
  <c r="BX76" i="1" s="1"/>
  <c r="BW77" i="1" s="1"/>
  <c r="BD77" i="1" s="1"/>
  <c r="CI75" i="1"/>
  <c r="CO76" i="1" s="1"/>
  <c r="BY76" i="1" s="1"/>
  <c r="BW78" i="1" s="1"/>
  <c r="BD78" i="1" s="1"/>
  <c r="CH99" i="1"/>
  <c r="CN100" i="1" s="1"/>
  <c r="BX100" i="1" s="1"/>
  <c r="BW101" i="1" s="1"/>
  <c r="CE99" i="1"/>
  <c r="CM99" i="1" s="1"/>
  <c r="BW99" i="1" s="1"/>
  <c r="CH91" i="1"/>
  <c r="CN92" i="1" s="1"/>
  <c r="BX92" i="1" s="1"/>
  <c r="BW93" i="1" s="1"/>
  <c r="CI91" i="1"/>
  <c r="CO92" i="1" s="1"/>
  <c r="BY92" i="1" s="1"/>
  <c r="BW94" i="1" s="1"/>
  <c r="BD94" i="1" s="1"/>
  <c r="CG59" i="1"/>
  <c r="CO59" i="1" s="1"/>
  <c r="BY59" i="1" s="1"/>
  <c r="BV62" i="1" s="1"/>
  <c r="CG67" i="1"/>
  <c r="CO67" i="1" s="1"/>
  <c r="BY67" i="1" s="1"/>
  <c r="BV70" i="1" s="1"/>
  <c r="CE67" i="1"/>
  <c r="CM67" i="1" s="1"/>
  <c r="BW67" i="1" s="1"/>
  <c r="CH83" i="1"/>
  <c r="CN84" i="1" s="1"/>
  <c r="BX84" i="1" s="1"/>
  <c r="BW85" i="1" s="1"/>
  <c r="CK107" i="1" a="1"/>
  <c r="CK107" i="1" s="1"/>
  <c r="CI83" i="1"/>
  <c r="CO84" i="1" s="1"/>
  <c r="BY84" i="1" s="1"/>
  <c r="BW86" i="1" s="1"/>
  <c r="CG83" i="1"/>
  <c r="CO83" i="1" s="1"/>
  <c r="BY83" i="1" s="1"/>
  <c r="BV86" i="1" s="1"/>
  <c r="CJ67" i="1"/>
  <c r="CO69" i="1" s="1"/>
  <c r="BY69" i="1" s="1"/>
  <c r="BX70" i="1" s="1"/>
  <c r="CI59" i="1"/>
  <c r="CO60" i="1" s="1"/>
  <c r="BY60" i="1" s="1"/>
  <c r="BW62" i="1" s="1"/>
  <c r="CH67" i="1"/>
  <c r="CN68" i="1" s="1"/>
  <c r="BX68" i="1" s="1"/>
  <c r="BW69" i="1" s="1"/>
  <c r="CF67" i="1"/>
  <c r="CN67" i="1" s="1"/>
  <c r="BX67" i="1" s="1"/>
  <c r="BV69" i="1" s="1"/>
  <c r="CM115" i="1"/>
  <c r="BW115" i="1" s="1"/>
  <c r="CK115" i="1" a="1"/>
  <c r="CK115" i="1" s="1"/>
  <c r="CI67" i="1"/>
  <c r="CO68" i="1" s="1"/>
  <c r="BY68" i="1" s="1"/>
  <c r="BW70" i="1" s="1"/>
  <c r="CH59" i="1"/>
  <c r="CN60" i="1" s="1"/>
  <c r="BX60" i="1" s="1"/>
  <c r="BW61" i="1" s="1"/>
  <c r="CJ59" i="1"/>
  <c r="CO61" i="1" s="1"/>
  <c r="BY61" i="1" s="1"/>
  <c r="BX62" i="1" s="1"/>
  <c r="CE83" i="1"/>
  <c r="CM83" i="1" s="1"/>
  <c r="BW83" i="1" s="1"/>
  <c r="CE59" i="1"/>
  <c r="CM59" i="1" s="1"/>
  <c r="BW59" i="1" s="1"/>
  <c r="CF59" i="1"/>
  <c r="CN59" i="1" s="1"/>
  <c r="BX59" i="1" s="1"/>
  <c r="BV61" i="1" s="1"/>
  <c r="CF83" i="1"/>
  <c r="CN83" i="1" s="1"/>
  <c r="BX83" i="1" s="1"/>
  <c r="BV85" i="1" s="1"/>
  <c r="CK51" i="1" a="1"/>
  <c r="CK51" i="1" s="1"/>
  <c r="BD30" i="1" l="1"/>
  <c r="BD43" i="1"/>
  <c r="BD69" i="1"/>
  <c r="BV44" i="1"/>
  <c r="BD44" i="1" s="1"/>
  <c r="CK43" i="1" a="1"/>
  <c r="CK43" i="1" s="1"/>
  <c r="BX46" i="1"/>
  <c r="BD46" i="1" s="1"/>
  <c r="BD45" i="1"/>
  <c r="BC53" i="1"/>
  <c r="AB53" i="1" s="1"/>
  <c r="G18" i="3" s="1"/>
  <c r="W133" i="1"/>
  <c r="BC109" i="1"/>
  <c r="Y109" i="1" s="1"/>
  <c r="F25" i="3" s="1"/>
  <c r="BD37" i="1"/>
  <c r="BD101" i="1"/>
  <c r="BD86" i="1"/>
  <c r="BD38" i="1"/>
  <c r="BV116" i="1"/>
  <c r="BD116" i="1" s="1"/>
  <c r="BD115" i="1"/>
  <c r="BC110" i="1"/>
  <c r="AA110" i="1" s="1"/>
  <c r="BC108" i="1"/>
  <c r="Y108" i="1" s="1"/>
  <c r="BC107" i="1"/>
  <c r="AA107" i="1" s="1"/>
  <c r="BD99" i="1"/>
  <c r="BV100" i="1"/>
  <c r="BD100" i="1" s="1"/>
  <c r="BV92" i="1"/>
  <c r="BD92" i="1" s="1"/>
  <c r="BD91" i="1"/>
  <c r="BD93" i="1"/>
  <c r="BV84" i="1"/>
  <c r="BD84" i="1" s="1"/>
  <c r="BD83" i="1"/>
  <c r="BD85" i="1"/>
  <c r="BV76" i="1"/>
  <c r="BD76" i="1" s="1"/>
  <c r="BD75" i="1"/>
  <c r="BD70" i="1"/>
  <c r="BV60" i="1"/>
  <c r="BD60" i="1" s="1"/>
  <c r="BD59" i="1"/>
  <c r="BD62" i="1"/>
  <c r="BD61" i="1"/>
  <c r="CK35" i="1" a="1"/>
  <c r="CK35" i="1" s="1"/>
  <c r="BD35" i="1"/>
  <c r="BD36" i="1"/>
  <c r="BV28" i="1"/>
  <c r="BD28" i="1" s="1"/>
  <c r="BD27" i="1"/>
  <c r="BC52" i="1"/>
  <c r="BB52" i="1" s="1"/>
  <c r="BC54" i="1"/>
  <c r="AB54" i="1" s="1"/>
  <c r="BC51" i="1"/>
  <c r="CK99" i="1" a="1"/>
  <c r="CK99" i="1" s="1"/>
  <c r="BV68" i="1"/>
  <c r="BD68" i="1" s="1"/>
  <c r="BD67" i="1"/>
  <c r="CK75" i="1" a="1"/>
  <c r="CK75" i="1" s="1"/>
  <c r="CK27" i="1" a="1"/>
  <c r="CK27" i="1" s="1"/>
  <c r="CK91" i="1" a="1"/>
  <c r="CK91" i="1" s="1"/>
  <c r="CK59" i="1" a="1"/>
  <c r="CK59" i="1" s="1"/>
  <c r="CK83" i="1" a="1"/>
  <c r="CK83" i="1" s="1"/>
  <c r="CK67" i="1" a="1"/>
  <c r="CK67" i="1" s="1"/>
  <c r="BC43" i="1" l="1"/>
  <c r="AB43" i="1" s="1"/>
  <c r="BC45" i="1"/>
  <c r="AA45" i="1" s="1"/>
  <c r="Y43" i="1"/>
  <c r="BC46" i="1"/>
  <c r="Y46" i="1" s="1"/>
  <c r="AA108" i="1"/>
  <c r="BC44" i="1"/>
  <c r="X44" i="1" s="1"/>
  <c r="D11" i="14" s="1"/>
  <c r="X53" i="1"/>
  <c r="BB53" i="1"/>
  <c r="AB109" i="1"/>
  <c r="G25" i="3" s="1"/>
  <c r="AA53" i="1"/>
  <c r="X107" i="1"/>
  <c r="D42" i="14" s="1"/>
  <c r="Y53" i="1"/>
  <c r="F18" i="3" s="1"/>
  <c r="Z53" i="1"/>
  <c r="H18" i="3" s="1"/>
  <c r="X108" i="1"/>
  <c r="D43" i="14" s="1"/>
  <c r="Z43" i="1"/>
  <c r="Z109" i="1"/>
  <c r="H25" i="3" s="1"/>
  <c r="AA109" i="1"/>
  <c r="X109" i="1"/>
  <c r="BB109" i="1"/>
  <c r="BA108" i="1"/>
  <c r="W108" i="1" s="1"/>
  <c r="W134" i="1"/>
  <c r="AB108" i="1"/>
  <c r="Z110" i="1"/>
  <c r="BB110" i="1"/>
  <c r="AB110" i="1"/>
  <c r="X110" i="1"/>
  <c r="D45" i="14" s="1"/>
  <c r="Z108" i="1"/>
  <c r="BB108" i="1"/>
  <c r="Y110" i="1"/>
  <c r="AB45" i="1"/>
  <c r="G17" i="3" s="1"/>
  <c r="BC118" i="1"/>
  <c r="BC116" i="1"/>
  <c r="BC117" i="1"/>
  <c r="BC115" i="1"/>
  <c r="Y107" i="1"/>
  <c r="AB107" i="1"/>
  <c r="BB107" i="1"/>
  <c r="Z107" i="1"/>
  <c r="BC100" i="1"/>
  <c r="BC99" i="1"/>
  <c r="BC102" i="1"/>
  <c r="BC101" i="1"/>
  <c r="BC92" i="1"/>
  <c r="BC94" i="1"/>
  <c r="BC93" i="1"/>
  <c r="BC91" i="1"/>
  <c r="BC85" i="1"/>
  <c r="BC83" i="1"/>
  <c r="BC84" i="1"/>
  <c r="BC86" i="1"/>
  <c r="BC75" i="1"/>
  <c r="BC76" i="1"/>
  <c r="BC77" i="1"/>
  <c r="BC78" i="1"/>
  <c r="BC59" i="1"/>
  <c r="BC61" i="1"/>
  <c r="BC62" i="1"/>
  <c r="BC60" i="1"/>
  <c r="BB54" i="1"/>
  <c r="X54" i="1"/>
  <c r="D17" i="14" s="1"/>
  <c r="BC38" i="1"/>
  <c r="BC36" i="1"/>
  <c r="BC37" i="1"/>
  <c r="BC35" i="1"/>
  <c r="Z54" i="1"/>
  <c r="BC28" i="1"/>
  <c r="BC29" i="1"/>
  <c r="BC27" i="1"/>
  <c r="BC30" i="1"/>
  <c r="Y52" i="1"/>
  <c r="AA52" i="1"/>
  <c r="Z52" i="1"/>
  <c r="X52" i="1"/>
  <c r="D15" i="14" s="1"/>
  <c r="AB52" i="1"/>
  <c r="Y54" i="1"/>
  <c r="AA54" i="1"/>
  <c r="AA51" i="1"/>
  <c r="AB51" i="1"/>
  <c r="Z51" i="1"/>
  <c r="X51" i="1"/>
  <c r="D14" i="14" s="1"/>
  <c r="BA52" i="1"/>
  <c r="W52" i="1" s="1"/>
  <c r="BB51" i="1"/>
  <c r="Y51" i="1"/>
  <c r="BC69" i="1"/>
  <c r="BC70" i="1"/>
  <c r="BC67" i="1"/>
  <c r="BC68" i="1"/>
  <c r="B25" i="3" l="1"/>
  <c r="D44" i="14"/>
  <c r="B18" i="3"/>
  <c r="D16" i="14"/>
  <c r="J25" i="3"/>
  <c r="J18" i="3"/>
  <c r="X43" i="1"/>
  <c r="D10" i="14" s="1"/>
  <c r="Y45" i="1"/>
  <c r="F17" i="3" s="1"/>
  <c r="BB43" i="1"/>
  <c r="X45" i="1"/>
  <c r="AA43" i="1"/>
  <c r="BB45" i="1"/>
  <c r="Z45" i="1"/>
  <c r="H17" i="3" s="1"/>
  <c r="Y44" i="1"/>
  <c r="AB46" i="1"/>
  <c r="X46" i="1"/>
  <c r="D13" i="14" s="1"/>
  <c r="BA109" i="1"/>
  <c r="BA44" i="1"/>
  <c r="Z46" i="1"/>
  <c r="BB46" i="1"/>
  <c r="BB44" i="1"/>
  <c r="AA46" i="1"/>
  <c r="AA44" i="1"/>
  <c r="AB44" i="1"/>
  <c r="Z44" i="1"/>
  <c r="W135" i="1"/>
  <c r="AA115" i="1"/>
  <c r="BB115" i="1"/>
  <c r="Z115" i="1"/>
  <c r="AB115" i="1"/>
  <c r="Y115" i="1"/>
  <c r="X115" i="1"/>
  <c r="D46" i="14" s="1"/>
  <c r="Z117" i="1"/>
  <c r="H26" i="3" s="1"/>
  <c r="X117" i="1"/>
  <c r="AA117" i="1"/>
  <c r="BB117" i="1"/>
  <c r="AB117" i="1"/>
  <c r="G26" i="3" s="1"/>
  <c r="Y117" i="1"/>
  <c r="F26" i="3" s="1"/>
  <c r="AB116" i="1"/>
  <c r="Y116" i="1"/>
  <c r="BA116" i="1"/>
  <c r="W116" i="1" s="1"/>
  <c r="AA116" i="1"/>
  <c r="X116" i="1"/>
  <c r="D47" i="14" s="1"/>
  <c r="Z116" i="1"/>
  <c r="BB116" i="1"/>
  <c r="AB118" i="1"/>
  <c r="BB118" i="1"/>
  <c r="X118" i="1"/>
  <c r="D49" i="14" s="1"/>
  <c r="AA118" i="1"/>
  <c r="Y118" i="1"/>
  <c r="Z118" i="1"/>
  <c r="Z101" i="1"/>
  <c r="H24" i="3" s="1"/>
  <c r="AA101" i="1"/>
  <c r="X101" i="1"/>
  <c r="BB101" i="1"/>
  <c r="Y101" i="1"/>
  <c r="F24" i="3" s="1"/>
  <c r="AB101" i="1"/>
  <c r="G24" i="3" s="1"/>
  <c r="BB102" i="1"/>
  <c r="AB102" i="1"/>
  <c r="Z102" i="1"/>
  <c r="AA102" i="1"/>
  <c r="X102" i="1"/>
  <c r="D41" i="14" s="1"/>
  <c r="Y102" i="1"/>
  <c r="BB99" i="1"/>
  <c r="Y99" i="1"/>
  <c r="Z99" i="1"/>
  <c r="AA99" i="1"/>
  <c r="AB99" i="1"/>
  <c r="X99" i="1"/>
  <c r="D38" i="14" s="1"/>
  <c r="Y100" i="1"/>
  <c r="Z100" i="1"/>
  <c r="BA100" i="1"/>
  <c r="W100" i="1" s="1"/>
  <c r="X100" i="1"/>
  <c r="D39" i="14" s="1"/>
  <c r="BB100" i="1"/>
  <c r="AA100" i="1"/>
  <c r="AB100" i="1"/>
  <c r="BB91" i="1"/>
  <c r="AA91" i="1"/>
  <c r="X91" i="1"/>
  <c r="D34" i="14" s="1"/>
  <c r="AB91" i="1"/>
  <c r="Z91" i="1"/>
  <c r="Y91" i="1"/>
  <c r="Z93" i="1"/>
  <c r="H23" i="3" s="1"/>
  <c r="BB93" i="1"/>
  <c r="AA93" i="1"/>
  <c r="AB93" i="1"/>
  <c r="G23" i="3" s="1"/>
  <c r="X93" i="1"/>
  <c r="Y93" i="1"/>
  <c r="F23" i="3" s="1"/>
  <c r="AA94" i="1"/>
  <c r="Y94" i="1"/>
  <c r="AB94" i="1"/>
  <c r="X94" i="1"/>
  <c r="D37" i="14" s="1"/>
  <c r="BB94" i="1"/>
  <c r="Z94" i="1"/>
  <c r="BA92" i="1"/>
  <c r="W92" i="1" s="1"/>
  <c r="BB92" i="1"/>
  <c r="AA92" i="1"/>
  <c r="Y92" i="1"/>
  <c r="AB92" i="1"/>
  <c r="Z92" i="1"/>
  <c r="X92" i="1"/>
  <c r="D35" i="14" s="1"/>
  <c r="BB86" i="1"/>
  <c r="Y86" i="1"/>
  <c r="Z86" i="1"/>
  <c r="AA86" i="1"/>
  <c r="X86" i="1"/>
  <c r="D33" i="14" s="1"/>
  <c r="AB86" i="1"/>
  <c r="BA84" i="1"/>
  <c r="W84" i="1" s="1"/>
  <c r="Y84" i="1"/>
  <c r="X84" i="1"/>
  <c r="D31" i="14" s="1"/>
  <c r="BB84" i="1"/>
  <c r="AA84" i="1"/>
  <c r="Z84" i="1"/>
  <c r="AB84" i="1"/>
  <c r="Y83" i="1"/>
  <c r="BB83" i="1"/>
  <c r="AA83" i="1"/>
  <c r="AB83" i="1"/>
  <c r="Z83" i="1"/>
  <c r="X83" i="1"/>
  <c r="D30" i="14" s="1"/>
  <c r="Y85" i="1"/>
  <c r="F22" i="3" s="1"/>
  <c r="X85" i="1"/>
  <c r="AB85" i="1"/>
  <c r="G22" i="3" s="1"/>
  <c r="Z85" i="1"/>
  <c r="H22" i="3" s="1"/>
  <c r="BB85" i="1"/>
  <c r="AA85" i="1"/>
  <c r="AA77" i="1"/>
  <c r="BB77" i="1"/>
  <c r="Y77" i="1"/>
  <c r="F21" i="3" s="1"/>
  <c r="Z77" i="1"/>
  <c r="H21" i="3" s="1"/>
  <c r="X77" i="1"/>
  <c r="AB77" i="1"/>
  <c r="G21" i="3" s="1"/>
  <c r="Z78" i="1"/>
  <c r="AB78" i="1"/>
  <c r="BB78" i="1"/>
  <c r="X78" i="1"/>
  <c r="D29" i="14" s="1"/>
  <c r="AA78" i="1"/>
  <c r="Y78" i="1"/>
  <c r="AA76" i="1"/>
  <c r="BA76" i="1"/>
  <c r="W76" i="1" s="1"/>
  <c r="AB76" i="1"/>
  <c r="Y76" i="1"/>
  <c r="BB76" i="1"/>
  <c r="Z76" i="1"/>
  <c r="X76" i="1"/>
  <c r="D27" i="14" s="1"/>
  <c r="AB75" i="1"/>
  <c r="BB75" i="1"/>
  <c r="AA75" i="1"/>
  <c r="Z75" i="1"/>
  <c r="Y75" i="1"/>
  <c r="X75" i="1"/>
  <c r="D26" i="14" s="1"/>
  <c r="Z62" i="1"/>
  <c r="BB62" i="1"/>
  <c r="AB62" i="1"/>
  <c r="Y62" i="1"/>
  <c r="X62" i="1"/>
  <c r="D21" i="14" s="1"/>
  <c r="AA62" i="1"/>
  <c r="AB60" i="1"/>
  <c r="AA60" i="1"/>
  <c r="Y60" i="1"/>
  <c r="BB60" i="1"/>
  <c r="X60" i="1"/>
  <c r="D19" i="14" s="1"/>
  <c r="BA60" i="1"/>
  <c r="W60" i="1" s="1"/>
  <c r="Z60" i="1"/>
  <c r="BB61" i="1"/>
  <c r="AB61" i="1"/>
  <c r="G19" i="3" s="1"/>
  <c r="X61" i="1"/>
  <c r="Z61" i="1"/>
  <c r="H19" i="3" s="1"/>
  <c r="Y61" i="1"/>
  <c r="F19" i="3" s="1"/>
  <c r="AA61" i="1"/>
  <c r="AB59" i="1"/>
  <c r="X59" i="1"/>
  <c r="D18" i="14" s="1"/>
  <c r="BB59" i="1"/>
  <c r="Z59" i="1"/>
  <c r="AA59" i="1"/>
  <c r="Y59" i="1"/>
  <c r="BA53" i="1"/>
  <c r="Y37" i="1"/>
  <c r="F16" i="3" s="1"/>
  <c r="AA37" i="1"/>
  <c r="AB37" i="1"/>
  <c r="G16" i="3" s="1"/>
  <c r="Z37" i="1"/>
  <c r="H16" i="3" s="1"/>
  <c r="X37" i="1"/>
  <c r="BB37" i="1"/>
  <c r="AA35" i="1"/>
  <c r="Z35" i="1"/>
  <c r="Y35" i="1"/>
  <c r="X35" i="1"/>
  <c r="D6" i="14" s="1"/>
  <c r="AB35" i="1"/>
  <c r="BB35" i="1"/>
  <c r="BB36" i="1"/>
  <c r="BA36" i="1"/>
  <c r="W36" i="1" s="1"/>
  <c r="AA36" i="1"/>
  <c r="AB36" i="1"/>
  <c r="Z36" i="1"/>
  <c r="X36" i="1"/>
  <c r="D7" i="14" s="1"/>
  <c r="Y36" i="1"/>
  <c r="AA38" i="1"/>
  <c r="BB38" i="1"/>
  <c r="Y38" i="1"/>
  <c r="AB38" i="1"/>
  <c r="X38" i="1"/>
  <c r="D9" i="14" s="1"/>
  <c r="Z38" i="1"/>
  <c r="Y30" i="1"/>
  <c r="X30" i="1"/>
  <c r="D5" i="14" s="1"/>
  <c r="AA30" i="1"/>
  <c r="BB30" i="1"/>
  <c r="AB30" i="1"/>
  <c r="Z30" i="1"/>
  <c r="X27" i="1"/>
  <c r="D2" i="14" s="1"/>
  <c r="AA27" i="1"/>
  <c r="Z27" i="1"/>
  <c r="Y27" i="1"/>
  <c r="BB27" i="1"/>
  <c r="AB27" i="1"/>
  <c r="AB29" i="1"/>
  <c r="G15" i="3" s="1"/>
  <c r="Z29" i="1"/>
  <c r="H15" i="3" s="1"/>
  <c r="Y29" i="1"/>
  <c r="F15" i="3" s="1"/>
  <c r="X29" i="1"/>
  <c r="BB29" i="1"/>
  <c r="AA29" i="1"/>
  <c r="Y28" i="1"/>
  <c r="Z28" i="1"/>
  <c r="BB28" i="1"/>
  <c r="AB28" i="1"/>
  <c r="AA28" i="1"/>
  <c r="X28" i="1"/>
  <c r="D3" i="14" s="1"/>
  <c r="BA28" i="1"/>
  <c r="W28" i="1" s="1"/>
  <c r="X68" i="1"/>
  <c r="D23" i="14" s="1"/>
  <c r="AA68" i="1"/>
  <c r="BA68" i="1"/>
  <c r="W68" i="1" s="1"/>
  <c r="Y68" i="1"/>
  <c r="Z68" i="1"/>
  <c r="AB68" i="1"/>
  <c r="BB68" i="1"/>
  <c r="X67" i="1"/>
  <c r="D22" i="14" s="1"/>
  <c r="Y67" i="1"/>
  <c r="BB67" i="1"/>
  <c r="AA67" i="1"/>
  <c r="Z67" i="1"/>
  <c r="AB67" i="1"/>
  <c r="AB70" i="1"/>
  <c r="AA70" i="1"/>
  <c r="BB70" i="1"/>
  <c r="X70" i="1"/>
  <c r="D25" i="14" s="1"/>
  <c r="Z70" i="1"/>
  <c r="Y70" i="1"/>
  <c r="X69" i="1"/>
  <c r="BB69" i="1"/>
  <c r="AB69" i="1"/>
  <c r="G20" i="3" s="1"/>
  <c r="Z69" i="1"/>
  <c r="H20" i="3" s="1"/>
  <c r="Y69" i="1"/>
  <c r="F20" i="3" s="1"/>
  <c r="AA69" i="1"/>
  <c r="B24" i="3" l="1"/>
  <c r="D40" i="14"/>
  <c r="B22" i="3"/>
  <c r="D32" i="14"/>
  <c r="B17" i="3"/>
  <c r="D12" i="14"/>
  <c r="B20" i="3"/>
  <c r="D24" i="14"/>
  <c r="B26" i="3"/>
  <c r="D48" i="14"/>
  <c r="B21" i="3"/>
  <c r="D28" i="14"/>
  <c r="B19" i="3"/>
  <c r="D20" i="14"/>
  <c r="B23" i="3"/>
  <c r="D36" i="14"/>
  <c r="J20" i="3"/>
  <c r="B15" i="3"/>
  <c r="D4" i="14"/>
  <c r="J23" i="3"/>
  <c r="J21" i="3"/>
  <c r="B16" i="3"/>
  <c r="D8" i="14"/>
  <c r="J19" i="3"/>
  <c r="J24" i="3"/>
  <c r="J26" i="3"/>
  <c r="J22" i="3"/>
  <c r="J17" i="3"/>
  <c r="J16" i="3"/>
  <c r="J15" i="3"/>
  <c r="BA77" i="1"/>
  <c r="W77" i="1" s="1"/>
  <c r="X79" i="1" s="1"/>
  <c r="BA93" i="1"/>
  <c r="W93" i="1" s="1"/>
  <c r="X95" i="1" s="1"/>
  <c r="W44" i="1"/>
  <c r="BA45" i="1"/>
  <c r="BA85" i="1"/>
  <c r="W85" i="1" s="1"/>
  <c r="W109" i="1"/>
  <c r="X111" i="1" s="1"/>
  <c r="BA110" i="1"/>
  <c r="W110" i="1" s="1"/>
  <c r="BA117" i="1"/>
  <c r="W117" i="1" s="1"/>
  <c r="X119" i="1" s="1"/>
  <c r="BA101" i="1"/>
  <c r="X87" i="1"/>
  <c r="BA69" i="1"/>
  <c r="BA61" i="1"/>
  <c r="W53" i="1"/>
  <c r="BA54" i="1"/>
  <c r="W54" i="1" s="1"/>
  <c r="BA37" i="1"/>
  <c r="C28" i="2"/>
  <c r="C37" i="2"/>
  <c r="C54" i="2"/>
  <c r="C47" i="2"/>
  <c r="BA29" i="1"/>
  <c r="BA78" i="1" l="1"/>
  <c r="W78" i="1" s="1"/>
  <c r="BA86" i="1"/>
  <c r="W86" i="1" s="1"/>
  <c r="BA94" i="1"/>
  <c r="W94" i="1" s="1"/>
  <c r="W45" i="1"/>
  <c r="X47" i="1" s="1"/>
  <c r="BA46" i="1"/>
  <c r="W46" i="1" s="1"/>
  <c r="BA118" i="1"/>
  <c r="W118" i="1" s="1"/>
  <c r="L17" i="3"/>
  <c r="N17" i="3" s="1"/>
  <c r="L16" i="3"/>
  <c r="N16" i="3" s="1"/>
  <c r="L18" i="3"/>
  <c r="N18" i="3" s="1"/>
  <c r="L23" i="3"/>
  <c r="N23" i="3" s="1"/>
  <c r="L26" i="3"/>
  <c r="N26" i="3" s="1"/>
  <c r="L25" i="3"/>
  <c r="N25" i="3" s="1"/>
  <c r="L24" i="3"/>
  <c r="N24" i="3" s="1"/>
  <c r="L19" i="3"/>
  <c r="N19" i="3" s="1"/>
  <c r="L21" i="3"/>
  <c r="N21" i="3" s="1"/>
  <c r="L22" i="3"/>
  <c r="N22" i="3" s="1"/>
  <c r="L20" i="3"/>
  <c r="N20" i="3" s="1"/>
  <c r="L15" i="3"/>
  <c r="W101" i="1"/>
  <c r="BA102" i="1"/>
  <c r="W102" i="1" s="1"/>
  <c r="W69" i="1"/>
  <c r="BA70" i="1"/>
  <c r="W70" i="1" s="1"/>
  <c r="W61" i="1"/>
  <c r="BA62" i="1"/>
  <c r="W62" i="1" s="1"/>
  <c r="X55" i="1"/>
  <c r="W37" i="1"/>
  <c r="BA38" i="1"/>
  <c r="W38" i="1" s="1"/>
  <c r="W29" i="1"/>
  <c r="BA30" i="1"/>
  <c r="W30" i="1" s="1"/>
  <c r="AB135" i="1" l="1"/>
  <c r="X133" i="1"/>
  <c r="Y130" i="1"/>
  <c r="Z127" i="1"/>
  <c r="AA124" i="1"/>
  <c r="Y128" i="1"/>
  <c r="AB127" i="1"/>
  <c r="AA135" i="1"/>
  <c r="AB132" i="1"/>
  <c r="X130" i="1"/>
  <c r="Y127" i="1"/>
  <c r="Z124" i="1"/>
  <c r="X134" i="1"/>
  <c r="AB124" i="1"/>
  <c r="Z135" i="1"/>
  <c r="AA132" i="1"/>
  <c r="AB129" i="1"/>
  <c r="X127" i="1"/>
  <c r="Y124" i="1"/>
  <c r="Z128" i="1"/>
  <c r="Y125" i="1"/>
  <c r="Z130" i="1"/>
  <c r="Y135" i="1"/>
  <c r="Z132" i="1"/>
  <c r="AA129" i="1"/>
  <c r="AB126" i="1"/>
  <c r="X124" i="1"/>
  <c r="AA125" i="1"/>
  <c r="AB130" i="1"/>
  <c r="Y133" i="1"/>
  <c r="X135" i="1"/>
  <c r="Y132" i="1"/>
  <c r="Z129" i="1"/>
  <c r="AA126" i="1"/>
  <c r="Z131" i="1"/>
  <c r="AA133" i="1"/>
  <c r="AA127" i="1"/>
  <c r="AB134" i="1"/>
  <c r="X132" i="1"/>
  <c r="Y129" i="1"/>
  <c r="Z126" i="1"/>
  <c r="AB125" i="1"/>
  <c r="AB133" i="1"/>
  <c r="X125" i="1"/>
  <c r="AA134" i="1"/>
  <c r="AB131" i="1"/>
  <c r="X129" i="1"/>
  <c r="Y126" i="1"/>
  <c r="AA128" i="1"/>
  <c r="X131" i="1"/>
  <c r="AA130" i="1"/>
  <c r="Z134" i="1"/>
  <c r="AA131" i="1"/>
  <c r="AB128" i="1"/>
  <c r="X126" i="1"/>
  <c r="Y134" i="1"/>
  <c r="Y131" i="1"/>
  <c r="Z125" i="1"/>
  <c r="X128" i="1"/>
  <c r="Z133" i="1"/>
  <c r="N15" i="3"/>
  <c r="O17" i="3" s="1"/>
  <c r="Q17" i="3" s="1"/>
  <c r="X103" i="1"/>
  <c r="X71" i="1"/>
  <c r="X63" i="1"/>
  <c r="X39" i="1"/>
  <c r="X31" i="1"/>
  <c r="O23" i="3" l="1"/>
  <c r="Q23" i="3" s="1"/>
  <c r="O25" i="3"/>
  <c r="Q25" i="3" s="1"/>
  <c r="O26" i="3"/>
  <c r="Q26" i="3" s="1"/>
  <c r="O24" i="3"/>
  <c r="Q24" i="3" s="1"/>
  <c r="O19" i="3"/>
  <c r="Q19" i="3" s="1"/>
  <c r="O21" i="3"/>
  <c r="Q21" i="3" s="1"/>
  <c r="O20" i="3"/>
  <c r="Q20" i="3" s="1"/>
  <c r="O22" i="3"/>
  <c r="Q22" i="3" s="1"/>
  <c r="O15" i="3"/>
  <c r="Q15" i="3" s="1"/>
  <c r="O16" i="3"/>
  <c r="Q16" i="3" s="1"/>
  <c r="O18" i="3"/>
  <c r="Q18" i="3" s="1"/>
  <c r="C38" i="2"/>
  <c r="C57" i="2"/>
  <c r="C34" i="2"/>
  <c r="C20" i="2"/>
  <c r="C61" i="2"/>
  <c r="C60" i="2"/>
  <c r="C44" i="2"/>
  <c r="C36" i="2"/>
  <c r="C29" i="2"/>
  <c r="C16" i="2"/>
  <c r="C21" i="2"/>
  <c r="C48" i="2"/>
  <c r="C39" i="2"/>
  <c r="C32" i="2"/>
  <c r="C45" i="2"/>
  <c r="C51" i="2"/>
  <c r="C24" i="2"/>
  <c r="C52" i="2"/>
  <c r="C23" i="2"/>
  <c r="C49" i="2"/>
  <c r="C43" i="2"/>
  <c r="C22" i="2"/>
  <c r="C31" i="2"/>
  <c r="C35" i="2"/>
  <c r="C41" i="2"/>
  <c r="C46" i="2"/>
  <c r="C58" i="2"/>
  <c r="C18" i="2"/>
  <c r="C62" i="2"/>
  <c r="C50" i="2"/>
  <c r="C53" i="2"/>
  <c r="C15" i="2"/>
  <c r="C30" i="2"/>
  <c r="C42" i="2"/>
  <c r="C55" i="2"/>
  <c r="C56" i="2"/>
  <c r="C25" i="2"/>
  <c r="C27" i="2"/>
  <c r="C17" i="2"/>
  <c r="C19" i="2"/>
  <c r="C33" i="2"/>
  <c r="C40" i="2"/>
  <c r="C59" i="2"/>
  <c r="C26" i="2"/>
  <c r="U26" i="3" l="1"/>
  <c r="AI6" i="1"/>
  <c r="AH116" i="1" l="1"/>
  <c r="AG83" i="1"/>
  <c r="AH107" i="1"/>
  <c r="AH99" i="1"/>
  <c r="AH92" i="1"/>
  <c r="AG92" i="1"/>
  <c r="AH91" i="1"/>
  <c r="AG91" i="1"/>
  <c r="AH108" i="1"/>
  <c r="AH35" i="1"/>
  <c r="AG108" i="1"/>
  <c r="AG84" i="1"/>
  <c r="AH88" i="1"/>
  <c r="AH68" i="1"/>
  <c r="AG67" i="1"/>
  <c r="AG53" i="1"/>
  <c r="AG43" i="1"/>
  <c r="AG68" i="1"/>
  <c r="AG96" i="1"/>
  <c r="AH96" i="1"/>
  <c r="AH43" i="1"/>
  <c r="AH115" i="1"/>
  <c r="AH85" i="1"/>
  <c r="AG79" i="1"/>
  <c r="AG75" i="1"/>
  <c r="AG56" i="1"/>
  <c r="AG85" i="1"/>
  <c r="AH76" i="1"/>
  <c r="AH28" i="1"/>
  <c r="AH36" i="1"/>
  <c r="AH63" i="1"/>
  <c r="AG36" i="1"/>
  <c r="AG63" i="1"/>
  <c r="AH53" i="1"/>
  <c r="AH67" i="1"/>
  <c r="AG39" i="1"/>
  <c r="AH52" i="1"/>
  <c r="AG52" i="1"/>
  <c r="AG37" i="1"/>
  <c r="AH79" i="1"/>
  <c r="AH51" i="1"/>
  <c r="AG51" i="1"/>
  <c r="AH61" i="1"/>
  <c r="AH44" i="1"/>
  <c r="AG47" i="1"/>
  <c r="AH29" i="1"/>
  <c r="AG29" i="1"/>
  <c r="AG116" i="1"/>
  <c r="AG100" i="1"/>
  <c r="AH37" i="1"/>
  <c r="AH84" i="1"/>
  <c r="AG107" i="1"/>
  <c r="AH38" i="1"/>
  <c r="AG55" i="1"/>
  <c r="AH83" i="1"/>
  <c r="AG93" i="1"/>
  <c r="AG44" i="1"/>
  <c r="AG59" i="1"/>
  <c r="AH93" i="1"/>
  <c r="AG76" i="1"/>
  <c r="AH103" i="1"/>
  <c r="AG118" i="1"/>
  <c r="AH117" i="1"/>
  <c r="AH110" i="1"/>
  <c r="AH62" i="1"/>
  <c r="AG99" i="1"/>
  <c r="AH60" i="1"/>
  <c r="AH70" i="1"/>
  <c r="AG94" i="1"/>
  <c r="AH78" i="1"/>
  <c r="AG27" i="1"/>
  <c r="AG54" i="1"/>
  <c r="AH69" i="1"/>
  <c r="AH32" i="1"/>
  <c r="AH95" i="1"/>
  <c r="AH77" i="1"/>
  <c r="AH71" i="1"/>
  <c r="AG35" i="1"/>
  <c r="AG87" i="1"/>
  <c r="AG78" i="1"/>
  <c r="AG102" i="1"/>
  <c r="AG115" i="1"/>
  <c r="AH40" i="1"/>
  <c r="AG64" i="1"/>
  <c r="AH47" i="1"/>
  <c r="AG86" i="1"/>
  <c r="AG103" i="1"/>
  <c r="AG71" i="1"/>
  <c r="AH72" i="1"/>
  <c r="AG120" i="1"/>
  <c r="AG32" i="1"/>
  <c r="AG38" i="1"/>
  <c r="AG72" i="1"/>
  <c r="AH27" i="1"/>
  <c r="AH112" i="1"/>
  <c r="AG28" i="1"/>
  <c r="AH31" i="1"/>
  <c r="AG60" i="1"/>
  <c r="AG45" i="1"/>
  <c r="AH119" i="1"/>
  <c r="AH75" i="1"/>
  <c r="AH100" i="1"/>
  <c r="AG110" i="1"/>
  <c r="AH86" i="1"/>
  <c r="AG119" i="1"/>
  <c r="AH48" i="1"/>
  <c r="AG80" i="1"/>
  <c r="AG112" i="1"/>
  <c r="AH59" i="1"/>
  <c r="AH80" i="1"/>
  <c r="AG62" i="1"/>
  <c r="AG70" i="1"/>
  <c r="AH102" i="1"/>
  <c r="AG104" i="1"/>
  <c r="AH120" i="1"/>
  <c r="AG95" i="1"/>
  <c r="AG69" i="1"/>
  <c r="AH109" i="1"/>
  <c r="AH111" i="1"/>
  <c r="AH55" i="1"/>
  <c r="AG31" i="1"/>
  <c r="AH45" i="1"/>
  <c r="AH94" i="1"/>
  <c r="AG117" i="1"/>
  <c r="AH104" i="1"/>
  <c r="AG109" i="1"/>
  <c r="AH118" i="1"/>
  <c r="AH39" i="1"/>
  <c r="AH54" i="1"/>
  <c r="AG101" i="1"/>
  <c r="AH46" i="1"/>
  <c r="AH87" i="1"/>
  <c r="AG77" i="1"/>
  <c r="AG30" i="1"/>
  <c r="AH30" i="1"/>
  <c r="AG111" i="1"/>
  <c r="AH56" i="1"/>
  <c r="AG48" i="1"/>
  <c r="AG40" i="1"/>
  <c r="AG61" i="1"/>
  <c r="AH101" i="1"/>
  <c r="AG88" i="1"/>
  <c r="AG46" i="1"/>
  <c r="AH64" i="1"/>
  <c r="AI62" i="1" l="1"/>
  <c r="AK62" i="1" s="1"/>
  <c r="AI99" i="1"/>
  <c r="AK99" i="1" s="1"/>
  <c r="AI95" i="1"/>
  <c r="AK95" i="1" s="1"/>
  <c r="AI44" i="1"/>
  <c r="AK44" i="1" s="1"/>
  <c r="AI85" i="1"/>
  <c r="AK85" i="1" s="1"/>
  <c r="AI117" i="1"/>
  <c r="AL117" i="1" s="1"/>
  <c r="AI111" i="1"/>
  <c r="AK111" i="1" s="1"/>
  <c r="AI92" i="1"/>
  <c r="AK92" i="1" s="1"/>
  <c r="AI115" i="1"/>
  <c r="AK115" i="1" s="1"/>
  <c r="AI43" i="1"/>
  <c r="AK43" i="1" s="1"/>
  <c r="AI61" i="1"/>
  <c r="AK61" i="1" s="1"/>
  <c r="AI28" i="1"/>
  <c r="AK28" i="1" s="1"/>
  <c r="AI108" i="1"/>
  <c r="AL108" i="1" s="1"/>
  <c r="AI91" i="1"/>
  <c r="AK91" i="1" s="1"/>
  <c r="AI116" i="1"/>
  <c r="AL116" i="1" s="1"/>
  <c r="AI36" i="1"/>
  <c r="AK36" i="1" s="1"/>
  <c r="AI46" i="1"/>
  <c r="AK46" i="1" s="1"/>
  <c r="AI103" i="1"/>
  <c r="AK103" i="1" s="1"/>
  <c r="AI37" i="1"/>
  <c r="AL37" i="1" s="1"/>
  <c r="AI52" i="1"/>
  <c r="AK52" i="1" s="1"/>
  <c r="AI80" i="1"/>
  <c r="AL80" i="1" s="1"/>
  <c r="AI40" i="1"/>
  <c r="AL40" i="1" s="1"/>
  <c r="AI120" i="1"/>
  <c r="AL120" i="1" s="1"/>
  <c r="AI110" i="1"/>
  <c r="AL110" i="1" s="1"/>
  <c r="AI29" i="1"/>
  <c r="AK29" i="1" s="1"/>
  <c r="AI76" i="1"/>
  <c r="AL76" i="1" s="1"/>
  <c r="AI88" i="1"/>
  <c r="AK88" i="1" s="1"/>
  <c r="AI93" i="1"/>
  <c r="AL93" i="1" s="1"/>
  <c r="AI48" i="1"/>
  <c r="AL48" i="1" s="1"/>
  <c r="AI55" i="1"/>
  <c r="AL55" i="1" s="1"/>
  <c r="AI102" i="1"/>
  <c r="AL102" i="1" s="1"/>
  <c r="AI78" i="1"/>
  <c r="AK78" i="1" s="1"/>
  <c r="AI107" i="1"/>
  <c r="AL107" i="1" s="1"/>
  <c r="AI72" i="1"/>
  <c r="AL72" i="1" s="1"/>
  <c r="AI77" i="1"/>
  <c r="AL77" i="1" s="1"/>
  <c r="AI63" i="1"/>
  <c r="AL63" i="1" s="1"/>
  <c r="AI96" i="1"/>
  <c r="AL96" i="1" s="1"/>
  <c r="AI71" i="1"/>
  <c r="AL71" i="1" s="1"/>
  <c r="AI109" i="1"/>
  <c r="AI70" i="1"/>
  <c r="AI60" i="1"/>
  <c r="AI64" i="1"/>
  <c r="AI51" i="1"/>
  <c r="AI94" i="1"/>
  <c r="AI56" i="1"/>
  <c r="AI84" i="1"/>
  <c r="AI75" i="1"/>
  <c r="AI112" i="1"/>
  <c r="AI79" i="1"/>
  <c r="AI87" i="1"/>
  <c r="AI30" i="1"/>
  <c r="AI38" i="1"/>
  <c r="AI35" i="1"/>
  <c r="AI39" i="1"/>
  <c r="AI31" i="1"/>
  <c r="AI119" i="1"/>
  <c r="AI32" i="1"/>
  <c r="AI100" i="1"/>
  <c r="AI118" i="1"/>
  <c r="AI69" i="1"/>
  <c r="AI101" i="1"/>
  <c r="AI68" i="1"/>
  <c r="AI47" i="1"/>
  <c r="AI104" i="1"/>
  <c r="AI86" i="1"/>
  <c r="AI54" i="1"/>
  <c r="AI59" i="1"/>
  <c r="AI53" i="1"/>
  <c r="AI83" i="1"/>
  <c r="AI45" i="1"/>
  <c r="AI27" i="1"/>
  <c r="AI67" i="1"/>
  <c r="AL99" i="1" l="1"/>
  <c r="AL62" i="1"/>
  <c r="AO62" i="1" s="1" a="1"/>
  <c r="AO62" i="1" s="1"/>
  <c r="K62" i="1" s="1"/>
  <c r="AL85" i="1"/>
  <c r="AN85" i="1" s="1" a="1"/>
  <c r="AN85" i="1" s="1"/>
  <c r="AL95" i="1"/>
  <c r="AN95" i="1" s="1" a="1"/>
  <c r="AN95" i="1" s="1"/>
  <c r="AK40" i="1"/>
  <c r="AP40" i="1" s="1" a="1"/>
  <c r="AP40" i="1" s="1"/>
  <c r="N40" i="1" s="1"/>
  <c r="AK117" i="1"/>
  <c r="AN117" i="1" s="1" a="1"/>
  <c r="AN117" i="1" s="1"/>
  <c r="AL44" i="1"/>
  <c r="AP44" i="1" s="1" a="1"/>
  <c r="AP44" i="1" s="1"/>
  <c r="N44" i="1" s="1"/>
  <c r="AL92" i="1"/>
  <c r="AP92" i="1" s="1" a="1"/>
  <c r="AP92" i="1" s="1"/>
  <c r="N92" i="1" s="1"/>
  <c r="AL61" i="1"/>
  <c r="AP61" i="1" s="1" a="1"/>
  <c r="AP61" i="1" s="1"/>
  <c r="N61" i="1" s="1"/>
  <c r="AL111" i="1"/>
  <c r="AO111" i="1" s="1" a="1"/>
  <c r="AO111" i="1" s="1"/>
  <c r="K111" i="1" s="1"/>
  <c r="AK71" i="1"/>
  <c r="AO71" i="1" s="1" a="1"/>
  <c r="AO71" i="1" s="1"/>
  <c r="K71" i="1" s="1"/>
  <c r="AK110" i="1"/>
  <c r="AO110" i="1" s="1" a="1"/>
  <c r="AO110" i="1" s="1"/>
  <c r="K110" i="1" s="1"/>
  <c r="AL115" i="1"/>
  <c r="AO115" i="1" s="1" a="1"/>
  <c r="AO115" i="1" s="1"/>
  <c r="K115" i="1" s="1"/>
  <c r="AL28" i="1"/>
  <c r="AP28" i="1" s="1" a="1"/>
  <c r="AP28" i="1" s="1"/>
  <c r="N28" i="1" s="1"/>
  <c r="AL43" i="1"/>
  <c r="AO43" i="1" s="1" a="1"/>
  <c r="AO43" i="1" s="1"/>
  <c r="K43" i="1" s="1"/>
  <c r="AK108" i="1"/>
  <c r="AN108" i="1" s="1" a="1"/>
  <c r="AN108" i="1" s="1"/>
  <c r="AL78" i="1"/>
  <c r="AO78" i="1" s="1" a="1"/>
  <c r="AO78" i="1" s="1"/>
  <c r="K78" i="1" s="1"/>
  <c r="AL52" i="1"/>
  <c r="AO52" i="1" s="1" a="1"/>
  <c r="AO52" i="1" s="1"/>
  <c r="K52" i="1" s="1"/>
  <c r="AL36" i="1"/>
  <c r="AP36" i="1" s="1" a="1"/>
  <c r="AP36" i="1" s="1"/>
  <c r="N36" i="1" s="1"/>
  <c r="AK76" i="1"/>
  <c r="AP76" i="1" s="1" a="1"/>
  <c r="AP76" i="1" s="1"/>
  <c r="N76" i="1" s="1"/>
  <c r="AK116" i="1"/>
  <c r="AN116" i="1" s="1" a="1"/>
  <c r="AN116" i="1" s="1"/>
  <c r="AK80" i="1"/>
  <c r="AN80" i="1" s="1" a="1"/>
  <c r="AN80" i="1" s="1"/>
  <c r="AK37" i="1"/>
  <c r="AO37" i="1" s="1" a="1"/>
  <c r="AO37" i="1" s="1"/>
  <c r="K37" i="1" s="1"/>
  <c r="AL46" i="1"/>
  <c r="AO46" i="1" s="1" a="1"/>
  <c r="AO46" i="1" s="1"/>
  <c r="K46" i="1" s="1"/>
  <c r="AL91" i="1"/>
  <c r="AO91" i="1" s="1" a="1"/>
  <c r="AO91" i="1" s="1"/>
  <c r="K91" i="1" s="1"/>
  <c r="AK55" i="1"/>
  <c r="AP55" i="1" s="1" a="1"/>
  <c r="AP55" i="1" s="1"/>
  <c r="N55" i="1" s="1"/>
  <c r="AK77" i="1"/>
  <c r="AN77" i="1" s="1" a="1"/>
  <c r="AN77" i="1" s="1"/>
  <c r="AK107" i="1"/>
  <c r="AN107" i="1" s="1" a="1"/>
  <c r="AN107" i="1" s="1"/>
  <c r="AK102" i="1"/>
  <c r="AN102" i="1" s="1" a="1"/>
  <c r="AN102" i="1" s="1"/>
  <c r="AK120" i="1"/>
  <c r="AO120" i="1" s="1" a="1"/>
  <c r="AO120" i="1" s="1"/>
  <c r="K120" i="1" s="1"/>
  <c r="AL103" i="1"/>
  <c r="AP103" i="1" s="1" a="1"/>
  <c r="AP103" i="1" s="1"/>
  <c r="N103" i="1" s="1"/>
  <c r="AL88" i="1"/>
  <c r="AP88" i="1" s="1" a="1"/>
  <c r="AP88" i="1" s="1"/>
  <c r="N88" i="1" s="1"/>
  <c r="AK48" i="1"/>
  <c r="AN48" i="1" s="1" a="1"/>
  <c r="AN48" i="1" s="1"/>
  <c r="AL29" i="1"/>
  <c r="AN29" i="1" s="1" a="1"/>
  <c r="AN29" i="1" s="1"/>
  <c r="AK93" i="1"/>
  <c r="AP93" i="1" s="1" a="1"/>
  <c r="AP93" i="1" s="1"/>
  <c r="N93" i="1" s="1"/>
  <c r="AK96" i="1"/>
  <c r="AN96" i="1" s="1" a="1"/>
  <c r="AN96" i="1" s="1"/>
  <c r="AK63" i="1"/>
  <c r="AO63" i="1" s="1" a="1"/>
  <c r="AO63" i="1" s="1"/>
  <c r="K63" i="1" s="1"/>
  <c r="AK72" i="1"/>
  <c r="AO72" i="1" s="1" a="1"/>
  <c r="AO72" i="1" s="1"/>
  <c r="K72" i="1" s="1"/>
  <c r="AL86" i="1"/>
  <c r="AK86" i="1"/>
  <c r="AO99" i="1" a="1"/>
  <c r="AO99" i="1" s="1"/>
  <c r="K99" i="1" s="1"/>
  <c r="AN99" i="1" a="1"/>
  <c r="AN99" i="1" s="1"/>
  <c r="AP99" i="1" a="1"/>
  <c r="AP99" i="1" s="1"/>
  <c r="N99" i="1" s="1"/>
  <c r="AK51" i="1"/>
  <c r="AL51" i="1"/>
  <c r="AL118" i="1"/>
  <c r="AK118" i="1"/>
  <c r="AL59" i="1"/>
  <c r="AK59" i="1"/>
  <c r="AK39" i="1"/>
  <c r="AL39" i="1"/>
  <c r="AK54" i="1"/>
  <c r="AL54" i="1"/>
  <c r="AL67" i="1"/>
  <c r="AK67" i="1"/>
  <c r="AK35" i="1"/>
  <c r="AL35" i="1"/>
  <c r="AL84" i="1"/>
  <c r="AK84" i="1"/>
  <c r="AK64" i="1"/>
  <c r="AL64" i="1"/>
  <c r="AK69" i="1"/>
  <c r="AL69" i="1"/>
  <c r="AK100" i="1"/>
  <c r="AL100" i="1"/>
  <c r="AL38" i="1"/>
  <c r="AK38" i="1"/>
  <c r="AL112" i="1"/>
  <c r="AK112" i="1"/>
  <c r="AL56" i="1"/>
  <c r="AK56" i="1"/>
  <c r="AK60" i="1"/>
  <c r="AL60" i="1"/>
  <c r="AK32" i="1"/>
  <c r="AL32" i="1"/>
  <c r="AK30" i="1"/>
  <c r="AL30" i="1"/>
  <c r="AK70" i="1"/>
  <c r="AL70" i="1"/>
  <c r="AL27" i="1"/>
  <c r="AK27" i="1"/>
  <c r="AL47" i="1"/>
  <c r="AK47" i="1"/>
  <c r="AL101" i="1"/>
  <c r="AK101" i="1"/>
  <c r="AL119" i="1"/>
  <c r="AK119" i="1"/>
  <c r="AL87" i="1"/>
  <c r="AK87" i="1"/>
  <c r="AL109" i="1"/>
  <c r="AK109" i="1"/>
  <c r="AK68" i="1"/>
  <c r="AL68" i="1"/>
  <c r="AK31" i="1"/>
  <c r="AL31" i="1"/>
  <c r="AP62" i="1" a="1"/>
  <c r="AP62" i="1" s="1"/>
  <c r="N62" i="1" s="1"/>
  <c r="AN62" i="1" a="1"/>
  <c r="AN62" i="1" s="1"/>
  <c r="AL45" i="1"/>
  <c r="AK45" i="1"/>
  <c r="AL104" i="1"/>
  <c r="AK104" i="1"/>
  <c r="AL83" i="1"/>
  <c r="AK83" i="1"/>
  <c r="AK79" i="1"/>
  <c r="AL79" i="1"/>
  <c r="AL94" i="1"/>
  <c r="AK94" i="1"/>
  <c r="AL53" i="1"/>
  <c r="AK53" i="1"/>
  <c r="AK75" i="1"/>
  <c r="AL75" i="1"/>
  <c r="AO95" i="1" l="1" a="1"/>
  <c r="AO95" i="1" s="1"/>
  <c r="K95" i="1" s="1"/>
  <c r="AO85" i="1" a="1"/>
  <c r="AO85" i="1" s="1"/>
  <c r="K85" i="1" s="1"/>
  <c r="AP95" i="1" a="1"/>
  <c r="AP95" i="1" s="1"/>
  <c r="N95" i="1" s="1"/>
  <c r="AN40" i="1" a="1"/>
  <c r="AN40" i="1" s="1"/>
  <c r="AO117" i="1" a="1"/>
  <c r="AO117" i="1" s="1"/>
  <c r="K117" i="1" s="1"/>
  <c r="AP117" i="1" a="1"/>
  <c r="AP117" i="1" s="1"/>
  <c r="N117" i="1" s="1"/>
  <c r="AO61" i="1" a="1"/>
  <c r="AO61" i="1" s="1"/>
  <c r="K61" i="1" s="1"/>
  <c r="AN61" i="1" a="1"/>
  <c r="AN61" i="1" s="1"/>
  <c r="H61" i="1" s="1"/>
  <c r="AP85" i="1" a="1"/>
  <c r="AP85" i="1" s="1"/>
  <c r="N85" i="1" s="1"/>
  <c r="AN44" i="1" a="1"/>
  <c r="AN44" i="1" s="1"/>
  <c r="H44" i="1" s="1"/>
  <c r="AO44" i="1" a="1"/>
  <c r="AO44" i="1" s="1"/>
  <c r="K44" i="1" s="1"/>
  <c r="AO40" i="1" a="1"/>
  <c r="AO40" i="1" s="1"/>
  <c r="K40" i="1" s="1"/>
  <c r="AO108" i="1" a="1"/>
  <c r="AO108" i="1" s="1"/>
  <c r="K108" i="1" s="1"/>
  <c r="AP43" i="1" a="1"/>
  <c r="AP43" i="1" s="1"/>
  <c r="N43" i="1" s="1"/>
  <c r="AP108" i="1" a="1"/>
  <c r="AP108" i="1" s="1"/>
  <c r="N108" i="1" s="1"/>
  <c r="AN46" i="1" a="1"/>
  <c r="AN46" i="1" s="1"/>
  <c r="H46" i="1" s="1"/>
  <c r="AP48" i="1" a="1"/>
  <c r="AP48" i="1" s="1"/>
  <c r="N48" i="1" s="1"/>
  <c r="AP115" i="1" a="1"/>
  <c r="AP115" i="1" s="1"/>
  <c r="N115" i="1" s="1"/>
  <c r="AN115" i="1" a="1"/>
  <c r="AN115" i="1" s="1"/>
  <c r="H115" i="1" s="1"/>
  <c r="AP46" i="1" a="1"/>
  <c r="AP46" i="1" s="1"/>
  <c r="N46" i="1" s="1"/>
  <c r="AP110" i="1" a="1"/>
  <c r="AP110" i="1" s="1"/>
  <c r="N110" i="1" s="1"/>
  <c r="AN110" i="1" a="1"/>
  <c r="AN110" i="1" s="1"/>
  <c r="AP71" i="1" a="1"/>
  <c r="AP71" i="1" s="1"/>
  <c r="N71" i="1" s="1"/>
  <c r="AN71" i="1" a="1"/>
  <c r="AN71" i="1" s="1"/>
  <c r="H71" i="1" s="1"/>
  <c r="AN92" i="1" a="1"/>
  <c r="AN92" i="1" s="1"/>
  <c r="H92" i="1" s="1"/>
  <c r="AO92" i="1" a="1"/>
  <c r="AO92" i="1" s="1"/>
  <c r="K92" i="1" s="1"/>
  <c r="AN52" i="1" a="1"/>
  <c r="AN52" i="1" s="1"/>
  <c r="AP111" i="1" a="1"/>
  <c r="AP111" i="1" s="1"/>
  <c r="N111" i="1" s="1"/>
  <c r="AP52" i="1" a="1"/>
  <c r="AP52" i="1" s="1"/>
  <c r="N52" i="1" s="1"/>
  <c r="AN103" i="1" a="1"/>
  <c r="AN103" i="1" s="1"/>
  <c r="H103" i="1" s="1"/>
  <c r="AN111" i="1" a="1"/>
  <c r="AN111" i="1" s="1"/>
  <c r="H111" i="1" s="1"/>
  <c r="AN78" i="1" a="1"/>
  <c r="AN78" i="1" s="1"/>
  <c r="H78" i="1" s="1"/>
  <c r="AN36" i="1" a="1"/>
  <c r="AN36" i="1" s="1"/>
  <c r="H36" i="1" s="1"/>
  <c r="AO103" i="1" a="1"/>
  <c r="AO103" i="1" s="1"/>
  <c r="K103" i="1" s="1"/>
  <c r="AP78" i="1" a="1"/>
  <c r="AP78" i="1" s="1"/>
  <c r="N78" i="1" s="1"/>
  <c r="AN28" i="1" a="1"/>
  <c r="AN28" i="1" s="1"/>
  <c r="H28" i="1" s="1"/>
  <c r="AO36" i="1" a="1"/>
  <c r="AO36" i="1" s="1"/>
  <c r="K36" i="1" s="1"/>
  <c r="AO28" i="1" a="1"/>
  <c r="AO28" i="1" s="1"/>
  <c r="K28" i="1" s="1"/>
  <c r="AO116" i="1" a="1"/>
  <c r="AO116" i="1" s="1"/>
  <c r="K116" i="1" s="1"/>
  <c r="AP116" i="1" a="1"/>
  <c r="AP116" i="1" s="1"/>
  <c r="N116" i="1" s="1"/>
  <c r="AO48" i="1" a="1"/>
  <c r="AO48" i="1" s="1"/>
  <c r="K48" i="1" s="1"/>
  <c r="AP96" i="1" a="1"/>
  <c r="AP96" i="1" s="1"/>
  <c r="N96" i="1" s="1"/>
  <c r="AN93" i="1" a="1"/>
  <c r="AN93" i="1" s="1"/>
  <c r="H93" i="1" s="1"/>
  <c r="AO96" i="1" a="1"/>
  <c r="AO96" i="1" s="1"/>
  <c r="K96" i="1" s="1"/>
  <c r="AO93" i="1" a="1"/>
  <c r="AO93" i="1" s="1"/>
  <c r="K93" i="1" s="1"/>
  <c r="AN43" i="1" a="1"/>
  <c r="AN43" i="1" s="1"/>
  <c r="AP80" i="1" a="1"/>
  <c r="AP80" i="1" s="1"/>
  <c r="N80" i="1" s="1"/>
  <c r="AP37" i="1" a="1"/>
  <c r="AP37" i="1" s="1"/>
  <c r="N37" i="1" s="1"/>
  <c r="AN76" i="1" a="1"/>
  <c r="AN76" i="1" s="1"/>
  <c r="H76" i="1" s="1"/>
  <c r="AO80" i="1" a="1"/>
  <c r="AO80" i="1" s="1"/>
  <c r="K80" i="1" s="1"/>
  <c r="AN37" i="1" a="1"/>
  <c r="AN37" i="1" s="1"/>
  <c r="H37" i="1" s="1"/>
  <c r="AO76" i="1" a="1"/>
  <c r="AO76" i="1" s="1"/>
  <c r="K76" i="1" s="1"/>
  <c r="AP91" i="1" a="1"/>
  <c r="AP91" i="1" s="1"/>
  <c r="N91" i="1" s="1"/>
  <c r="AP72" i="1" a="1"/>
  <c r="AP72" i="1" s="1"/>
  <c r="N72" i="1" s="1"/>
  <c r="AN91" i="1" a="1"/>
  <c r="AN91" i="1" s="1"/>
  <c r="H91" i="1" s="1"/>
  <c r="AN55" i="1" a="1"/>
  <c r="AN55" i="1" s="1"/>
  <c r="AO55" i="1" a="1"/>
  <c r="AO55" i="1" s="1"/>
  <c r="K55" i="1" s="1"/>
  <c r="AO102" i="1" a="1"/>
  <c r="AO102" i="1" s="1"/>
  <c r="K102" i="1" s="1"/>
  <c r="AP102" i="1" a="1"/>
  <c r="AP102" i="1" s="1"/>
  <c r="N102" i="1" s="1"/>
  <c r="AO77" i="1" a="1"/>
  <c r="AO77" i="1" s="1"/>
  <c r="K77" i="1" s="1"/>
  <c r="AO107" i="1" a="1"/>
  <c r="AO107" i="1" s="1"/>
  <c r="K107" i="1" s="1"/>
  <c r="AP77" i="1" a="1"/>
  <c r="AP77" i="1" s="1"/>
  <c r="N77" i="1" s="1"/>
  <c r="AP107" i="1" a="1"/>
  <c r="AP107" i="1" s="1"/>
  <c r="N107" i="1" s="1"/>
  <c r="AP120" i="1" a="1"/>
  <c r="AP120" i="1" s="1"/>
  <c r="N120" i="1" s="1"/>
  <c r="AN120" i="1" a="1"/>
  <c r="AN120" i="1" s="1"/>
  <c r="H120" i="1" s="1"/>
  <c r="AO29" i="1" a="1"/>
  <c r="AO29" i="1" s="1"/>
  <c r="K29" i="1" s="1"/>
  <c r="AP29" i="1" a="1"/>
  <c r="AP29" i="1" s="1"/>
  <c r="N29" i="1" s="1"/>
  <c r="AN88" i="1" a="1"/>
  <c r="AN88" i="1" s="1"/>
  <c r="H88" i="1" s="1"/>
  <c r="AO88" i="1" a="1"/>
  <c r="AO88" i="1" s="1"/>
  <c r="K88" i="1" s="1"/>
  <c r="AN72" i="1" a="1"/>
  <c r="AN72" i="1" s="1"/>
  <c r="H72" i="1" s="1"/>
  <c r="AN63" i="1" a="1"/>
  <c r="AN63" i="1" s="1"/>
  <c r="H63" i="1" s="1"/>
  <c r="AP63" i="1" a="1"/>
  <c r="AP63" i="1" s="1"/>
  <c r="N63" i="1" s="1"/>
  <c r="AP54" i="1" a="1"/>
  <c r="AP54" i="1" s="1"/>
  <c r="N54" i="1" s="1"/>
  <c r="AO54" i="1" a="1"/>
  <c r="AO54" i="1" s="1"/>
  <c r="K54" i="1" s="1"/>
  <c r="AN54" i="1" a="1"/>
  <c r="AN54" i="1" s="1"/>
  <c r="AP53" i="1" a="1"/>
  <c r="AP53" i="1" s="1"/>
  <c r="N53" i="1" s="1"/>
  <c r="AN53" i="1" a="1"/>
  <c r="AN53" i="1" s="1"/>
  <c r="AO53" i="1" a="1"/>
  <c r="AO53" i="1" s="1"/>
  <c r="K53" i="1" s="1"/>
  <c r="AO32" i="1" a="1"/>
  <c r="AO32" i="1" s="1"/>
  <c r="K32" i="1" s="1"/>
  <c r="AP32" i="1" a="1"/>
  <c r="AP32" i="1" s="1"/>
  <c r="N32" i="1" s="1"/>
  <c r="AN32" i="1" a="1"/>
  <c r="AN32" i="1" s="1"/>
  <c r="AN59" i="1" a="1"/>
  <c r="AN59" i="1" s="1"/>
  <c r="AO59" i="1" a="1"/>
  <c r="AO59" i="1" s="1"/>
  <c r="K59" i="1" s="1"/>
  <c r="AP59" i="1" a="1"/>
  <c r="AP59" i="1" s="1"/>
  <c r="N59" i="1" s="1"/>
  <c r="AP86" i="1" a="1"/>
  <c r="AP86" i="1" s="1"/>
  <c r="N86" i="1" s="1"/>
  <c r="AO86" i="1" a="1"/>
  <c r="AO86" i="1" s="1"/>
  <c r="K86" i="1" s="1"/>
  <c r="AN86" i="1" a="1"/>
  <c r="AN86" i="1" s="1"/>
  <c r="AO118" i="1" a="1"/>
  <c r="AO118" i="1" s="1"/>
  <c r="K118" i="1" s="1"/>
  <c r="AN118" i="1" a="1"/>
  <c r="AN118" i="1" s="1"/>
  <c r="AP118" i="1" a="1"/>
  <c r="AP118" i="1" s="1"/>
  <c r="N118" i="1" s="1"/>
  <c r="H80" i="1"/>
  <c r="AO45" i="1" a="1"/>
  <c r="AO45" i="1" s="1"/>
  <c r="K45" i="1" s="1"/>
  <c r="AP45" i="1" a="1"/>
  <c r="AP45" i="1" s="1"/>
  <c r="N45" i="1" s="1"/>
  <c r="AN45" i="1" a="1"/>
  <c r="AN45" i="1" s="1"/>
  <c r="AO64" i="1" a="1"/>
  <c r="AO64" i="1" s="1"/>
  <c r="K64" i="1" s="1"/>
  <c r="AP64" i="1" a="1"/>
  <c r="AP64" i="1" s="1"/>
  <c r="N64" i="1" s="1"/>
  <c r="AN64" i="1" a="1"/>
  <c r="AN64" i="1" s="1"/>
  <c r="AO79" i="1" a="1"/>
  <c r="AO79" i="1" s="1"/>
  <c r="K79" i="1" s="1"/>
  <c r="AP79" i="1" a="1"/>
  <c r="AP79" i="1" s="1"/>
  <c r="N79" i="1" s="1"/>
  <c r="AN79" i="1" a="1"/>
  <c r="AN79" i="1" s="1"/>
  <c r="AO27" i="1" a="1"/>
  <c r="AO27" i="1" s="1"/>
  <c r="K27" i="1" s="1"/>
  <c r="AN27" i="1" a="1"/>
  <c r="AN27" i="1" s="1"/>
  <c r="AP27" i="1" a="1"/>
  <c r="AP27" i="1" s="1"/>
  <c r="N27" i="1" s="1"/>
  <c r="AP39" i="1" a="1"/>
  <c r="AP39" i="1" s="1"/>
  <c r="N39" i="1" s="1"/>
  <c r="AN39" i="1" a="1"/>
  <c r="AN39" i="1" s="1"/>
  <c r="AO39" i="1" a="1"/>
  <c r="AO39" i="1" s="1"/>
  <c r="K39" i="1" s="1"/>
  <c r="H77" i="1"/>
  <c r="H102" i="1"/>
  <c r="AP38" i="1" a="1"/>
  <c r="AP38" i="1" s="1"/>
  <c r="N38" i="1" s="1"/>
  <c r="AN38" i="1" a="1"/>
  <c r="AN38" i="1" s="1"/>
  <c r="AO38" i="1" a="1"/>
  <c r="AO38" i="1" s="1"/>
  <c r="K38" i="1" s="1"/>
  <c r="AP84" i="1" a="1"/>
  <c r="AP84" i="1" s="1"/>
  <c r="N84" i="1" s="1"/>
  <c r="AO84" i="1" a="1"/>
  <c r="AO84" i="1" s="1"/>
  <c r="K84" i="1" s="1"/>
  <c r="AN84" i="1" a="1"/>
  <c r="AN84" i="1" s="1"/>
  <c r="H29" i="1"/>
  <c r="H48" i="1"/>
  <c r="H116" i="1"/>
  <c r="AO30" i="1" a="1"/>
  <c r="AO30" i="1" s="1"/>
  <c r="K30" i="1" s="1"/>
  <c r="AN30" i="1" a="1"/>
  <c r="AN30" i="1" s="1"/>
  <c r="AP30" i="1" a="1"/>
  <c r="AP30" i="1" s="1"/>
  <c r="N30" i="1" s="1"/>
  <c r="H85" i="1"/>
  <c r="AS62" i="1"/>
  <c r="H62" i="1"/>
  <c r="AO87" i="1" a="1"/>
  <c r="AO87" i="1" s="1"/>
  <c r="K87" i="1" s="1"/>
  <c r="AN87" i="1" a="1"/>
  <c r="AN87" i="1" s="1"/>
  <c r="AP87" i="1" a="1"/>
  <c r="AP87" i="1" s="1"/>
  <c r="N87" i="1" s="1"/>
  <c r="AP112" i="1" a="1"/>
  <c r="AP112" i="1" s="1"/>
  <c r="N112" i="1" s="1"/>
  <c r="AO112" i="1" a="1"/>
  <c r="AO112" i="1" s="1"/>
  <c r="K112" i="1" s="1"/>
  <c r="AN112" i="1" a="1"/>
  <c r="AN112" i="1" s="1"/>
  <c r="AO83" i="1" a="1"/>
  <c r="AO83" i="1" s="1"/>
  <c r="K83" i="1" s="1"/>
  <c r="AN83" i="1" a="1"/>
  <c r="AN83" i="1" s="1"/>
  <c r="AP83" i="1" a="1"/>
  <c r="AP83" i="1" s="1"/>
  <c r="N83" i="1" s="1"/>
  <c r="AO100" i="1" a="1"/>
  <c r="AO100" i="1" s="1"/>
  <c r="K100" i="1" s="1"/>
  <c r="AN100" i="1" a="1"/>
  <c r="AN100" i="1" s="1"/>
  <c r="AP100" i="1" a="1"/>
  <c r="AP100" i="1" s="1"/>
  <c r="N100" i="1" s="1"/>
  <c r="AO35" i="1" a="1"/>
  <c r="AO35" i="1" s="1"/>
  <c r="K35" i="1" s="1"/>
  <c r="AN35" i="1" a="1"/>
  <c r="AN35" i="1" s="1"/>
  <c r="AP35" i="1" a="1"/>
  <c r="AP35" i="1" s="1"/>
  <c r="N35" i="1" s="1"/>
  <c r="AP94" i="1" a="1"/>
  <c r="AP94" i="1" s="1"/>
  <c r="N94" i="1" s="1"/>
  <c r="AO94" i="1" a="1"/>
  <c r="AO94" i="1" s="1"/>
  <c r="K94" i="1" s="1"/>
  <c r="AN94" i="1" a="1"/>
  <c r="AN94" i="1" s="1"/>
  <c r="AO119" i="1" a="1"/>
  <c r="AO119" i="1" s="1"/>
  <c r="K119" i="1" s="1"/>
  <c r="AN119" i="1" a="1"/>
  <c r="AN119" i="1" s="1"/>
  <c r="AP119" i="1" a="1"/>
  <c r="AP119" i="1" s="1"/>
  <c r="N119" i="1" s="1"/>
  <c r="H107" i="1"/>
  <c r="H117" i="1"/>
  <c r="H108" i="1"/>
  <c r="AN104" i="1" a="1"/>
  <c r="AN104" i="1" s="1"/>
  <c r="AP104" i="1" a="1"/>
  <c r="AP104" i="1" s="1"/>
  <c r="N104" i="1" s="1"/>
  <c r="AO104" i="1" a="1"/>
  <c r="AO104" i="1" s="1"/>
  <c r="K104" i="1" s="1"/>
  <c r="AN60" i="1" a="1"/>
  <c r="AN60" i="1" s="1"/>
  <c r="AP60" i="1" a="1"/>
  <c r="AP60" i="1" s="1"/>
  <c r="N60" i="1" s="1"/>
  <c r="AO60" i="1" a="1"/>
  <c r="AO60" i="1" s="1"/>
  <c r="K60" i="1" s="1"/>
  <c r="AO68" i="1" a="1"/>
  <c r="AO68" i="1" s="1"/>
  <c r="K68" i="1" s="1"/>
  <c r="AP68" i="1" a="1"/>
  <c r="AP68" i="1" s="1"/>
  <c r="N68" i="1" s="1"/>
  <c r="AN68" i="1" a="1"/>
  <c r="AN68" i="1" s="1"/>
  <c r="AP56" i="1" a="1"/>
  <c r="AP56" i="1" s="1"/>
  <c r="N56" i="1" s="1"/>
  <c r="AO56" i="1" a="1"/>
  <c r="AO56" i="1" s="1"/>
  <c r="K56" i="1" s="1"/>
  <c r="AN56" i="1" a="1"/>
  <c r="AN56" i="1" s="1"/>
  <c r="H95" i="1"/>
  <c r="AS95" i="1"/>
  <c r="AP67" i="1" a="1"/>
  <c r="AP67" i="1" s="1"/>
  <c r="N67" i="1" s="1"/>
  <c r="AO67" i="1" a="1"/>
  <c r="AO67" i="1" s="1"/>
  <c r="K67" i="1" s="1"/>
  <c r="AN67" i="1" a="1"/>
  <c r="AN67" i="1" s="1"/>
  <c r="H99" i="1"/>
  <c r="AS99" i="1"/>
  <c r="H96" i="1"/>
  <c r="AO31" i="1" a="1"/>
  <c r="AO31" i="1" s="1"/>
  <c r="K31" i="1" s="1"/>
  <c r="AN31" i="1" a="1"/>
  <c r="AN31" i="1" s="1"/>
  <c r="AP31" i="1" a="1"/>
  <c r="AP31" i="1" s="1"/>
  <c r="N31" i="1" s="1"/>
  <c r="AO70" i="1" a="1"/>
  <c r="AO70" i="1" s="1"/>
  <c r="K70" i="1" s="1"/>
  <c r="AN70" i="1" a="1"/>
  <c r="AN70" i="1" s="1"/>
  <c r="AP70" i="1" a="1"/>
  <c r="AP70" i="1" s="1"/>
  <c r="N70" i="1" s="1"/>
  <c r="AP69" i="1" a="1"/>
  <c r="AP69" i="1" s="1"/>
  <c r="N69" i="1" s="1"/>
  <c r="AN69" i="1" a="1"/>
  <c r="AN69" i="1" s="1"/>
  <c r="AO69" i="1" a="1"/>
  <c r="AO69" i="1" s="1"/>
  <c r="K69" i="1" s="1"/>
  <c r="AO51" i="1" a="1"/>
  <c r="AO51" i="1" s="1"/>
  <c r="K51" i="1" s="1"/>
  <c r="AP51" i="1" a="1"/>
  <c r="AP51" i="1" s="1"/>
  <c r="N51" i="1" s="1"/>
  <c r="AN51" i="1" a="1"/>
  <c r="AN51" i="1" s="1"/>
  <c r="AP101" i="1" a="1"/>
  <c r="AP101" i="1" s="1"/>
  <c r="N101" i="1" s="1"/>
  <c r="AN101" i="1" a="1"/>
  <c r="AN101" i="1" s="1"/>
  <c r="AO101" i="1" a="1"/>
  <c r="AO101" i="1" s="1"/>
  <c r="K101" i="1" s="1"/>
  <c r="AN75" i="1" a="1"/>
  <c r="AN75" i="1" s="1"/>
  <c r="AP75" i="1" a="1"/>
  <c r="AP75" i="1" s="1"/>
  <c r="N75" i="1" s="1"/>
  <c r="AO75" i="1" a="1"/>
  <c r="AO75" i="1" s="1"/>
  <c r="K75" i="1" s="1"/>
  <c r="AP109" i="1" a="1"/>
  <c r="AP109" i="1" s="1"/>
  <c r="N109" i="1" s="1"/>
  <c r="AO109" i="1" a="1"/>
  <c r="AO109" i="1" s="1"/>
  <c r="K109" i="1" s="1"/>
  <c r="AN109" i="1" a="1"/>
  <c r="AN109" i="1" s="1"/>
  <c r="AO47" i="1" a="1"/>
  <c r="AO47" i="1" s="1"/>
  <c r="K47" i="1" s="1"/>
  <c r="AN47" i="1" a="1"/>
  <c r="AN47" i="1" s="1"/>
  <c r="AP47" i="1" a="1"/>
  <c r="AP47" i="1" s="1"/>
  <c r="N47" i="1" s="1"/>
  <c r="AS117" i="1" l="1"/>
  <c r="AS85" i="1"/>
  <c r="AS40" i="1"/>
  <c r="H40" i="1"/>
  <c r="AS110" i="1"/>
  <c r="AS61" i="1"/>
  <c r="AS108" i="1"/>
  <c r="AS44" i="1"/>
  <c r="AS115" i="1"/>
  <c r="AS46" i="1"/>
  <c r="H110" i="1"/>
  <c r="AS43" i="1"/>
  <c r="AS71" i="1"/>
  <c r="AS52" i="1"/>
  <c r="AS28" i="1"/>
  <c r="AS36" i="1"/>
  <c r="AS92" i="1"/>
  <c r="AS55" i="1"/>
  <c r="AS77" i="1"/>
  <c r="AS48" i="1"/>
  <c r="H52" i="1"/>
  <c r="AS93" i="1"/>
  <c r="H55" i="1"/>
  <c r="AS91" i="1"/>
  <c r="AS96" i="1"/>
  <c r="AS102" i="1"/>
  <c r="AS63" i="1"/>
  <c r="AS111" i="1"/>
  <c r="AS103" i="1"/>
  <c r="H43" i="1"/>
  <c r="AS78" i="1"/>
  <c r="AS116" i="1"/>
  <c r="AS76" i="1"/>
  <c r="AS80" i="1"/>
  <c r="AS37" i="1"/>
  <c r="AS72" i="1"/>
  <c r="AS107" i="1"/>
  <c r="AS29" i="1"/>
  <c r="AS120" i="1"/>
  <c r="AS88" i="1"/>
  <c r="AS101" i="1"/>
  <c r="H101" i="1"/>
  <c r="H87" i="1"/>
  <c r="AS87" i="1"/>
  <c r="AS30" i="1"/>
  <c r="H30" i="1"/>
  <c r="H45" i="1"/>
  <c r="AS45" i="1"/>
  <c r="H31" i="1"/>
  <c r="AS31" i="1"/>
  <c r="AS68" i="1"/>
  <c r="H68" i="1"/>
  <c r="AS51" i="1"/>
  <c r="H51" i="1"/>
  <c r="H119" i="1"/>
  <c r="AS119" i="1"/>
  <c r="AS84" i="1"/>
  <c r="H84" i="1"/>
  <c r="AS79" i="1"/>
  <c r="H79" i="1"/>
  <c r="AS47" i="1"/>
  <c r="H47" i="1"/>
  <c r="AS104" i="1"/>
  <c r="H104" i="1"/>
  <c r="AS59" i="1"/>
  <c r="H59" i="1"/>
  <c r="H109" i="1"/>
  <c r="AS109" i="1"/>
  <c r="AS83" i="1"/>
  <c r="H83" i="1"/>
  <c r="H39" i="1"/>
  <c r="AS39" i="1"/>
  <c r="AS38" i="1"/>
  <c r="H38" i="1"/>
  <c r="H32" i="1"/>
  <c r="AS32" i="1"/>
  <c r="AS53" i="1"/>
  <c r="H53" i="1"/>
  <c r="AS67" i="1"/>
  <c r="H67" i="1"/>
  <c r="H64" i="1"/>
  <c r="AS64" i="1"/>
  <c r="H60" i="1"/>
  <c r="AS60" i="1"/>
  <c r="H27" i="1"/>
  <c r="AS27" i="1"/>
  <c r="H118" i="1"/>
  <c r="AS118" i="1"/>
  <c r="H69" i="1"/>
  <c r="AS69" i="1"/>
  <c r="AS94" i="1"/>
  <c r="H94" i="1"/>
  <c r="H35" i="1"/>
  <c r="AS35" i="1"/>
  <c r="H112" i="1"/>
  <c r="AS112" i="1"/>
  <c r="H54" i="1"/>
  <c r="AS54" i="1"/>
  <c r="H75" i="1"/>
  <c r="AS75" i="1"/>
  <c r="H70" i="1"/>
  <c r="AS70" i="1"/>
  <c r="H56" i="1"/>
  <c r="AS56" i="1"/>
  <c r="H100" i="1"/>
  <c r="AS100" i="1"/>
  <c r="AS86" i="1"/>
  <c r="H86" i="1"/>
  <c r="N7" i="1" l="1"/>
  <c r="N6" i="1" l="1"/>
  <c r="K6" i="1"/>
  <c r="K8" i="1"/>
  <c r="K7" i="1"/>
  <c r="N8" i="1"/>
  <c r="H8" i="1" l="1"/>
  <c r="H7" i="1"/>
  <c r="H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<sst xmlns="http://schemas.openxmlformats.org/spreadsheetml/2006/main" count="1301" uniqueCount="264">
  <si>
    <t>Tab Check</t>
  </si>
  <si>
    <t>Comments</t>
  </si>
  <si>
    <t>n.a.</t>
  </si>
  <si>
    <t>Average rate</t>
  </si>
  <si>
    <t>Average</t>
  </si>
  <si>
    <t>Dispersion</t>
  </si>
  <si>
    <t>Max rate</t>
  </si>
  <si>
    <t>Max</t>
  </si>
  <si>
    <t>Expected goals per team per game</t>
  </si>
  <si>
    <t>Min rate</t>
  </si>
  <si>
    <t>Min</t>
  </si>
  <si>
    <t>Group</t>
  </si>
  <si>
    <t>Rate A</t>
  </si>
  <si>
    <t>Rate Draw</t>
  </si>
  <si>
    <t>Rate B</t>
  </si>
  <si>
    <t xml:space="preserve"> </t>
  </si>
  <si>
    <t>Time</t>
  </si>
  <si>
    <t>Team 1</t>
  </si>
  <si>
    <t>Score Team 1</t>
  </si>
  <si>
    <t>Score Team 2</t>
  </si>
  <si>
    <t>Team 2</t>
  </si>
  <si>
    <t>Outcome probability</t>
  </si>
  <si>
    <t>Group A</t>
  </si>
  <si>
    <t>Ranking</t>
  </si>
  <si>
    <t>Pts</t>
  </si>
  <si>
    <t>GF</t>
  </si>
  <si>
    <t>GA</t>
  </si>
  <si>
    <t>Equipe A</t>
  </si>
  <si>
    <t>Equipe B</t>
  </si>
  <si>
    <t>Pts A</t>
  </si>
  <si>
    <t>Pts B</t>
  </si>
  <si>
    <t>Diff.</t>
  </si>
  <si>
    <t>xG A</t>
  </si>
  <si>
    <t>xG B</t>
  </si>
  <si>
    <t>A</t>
  </si>
  <si>
    <t>Draw</t>
  </si>
  <si>
    <t>B</t>
  </si>
  <si>
    <t>Rank</t>
  </si>
  <si>
    <t>Team</t>
  </si>
  <si>
    <t>GD</t>
  </si>
  <si>
    <t>Ag1</t>
  </si>
  <si>
    <t>Ag2</t>
  </si>
  <si>
    <t>Ag3</t>
  </si>
  <si>
    <t>Ag4</t>
  </si>
  <si>
    <t>Sp1</t>
  </si>
  <si>
    <t>Sp2</t>
  </si>
  <si>
    <t>Sp3</t>
  </si>
  <si>
    <t>Sp4</t>
  </si>
  <si>
    <t>T123</t>
  </si>
  <si>
    <t>T124</t>
  </si>
  <si>
    <t>T134</t>
  </si>
  <si>
    <t>T234</t>
  </si>
  <si>
    <t>Rk1</t>
  </si>
  <si>
    <t>Rk2</t>
  </si>
  <si>
    <t>Rk3</t>
  </si>
  <si>
    <t>Rk4</t>
  </si>
  <si>
    <t>T1234</t>
  </si>
  <si>
    <t>T12</t>
  </si>
  <si>
    <t>T13</t>
  </si>
  <si>
    <t>T14</t>
  </si>
  <si>
    <t>T23</t>
  </si>
  <si>
    <t>T24</t>
  </si>
  <si>
    <t>T34</t>
  </si>
  <si>
    <t>NoT</t>
  </si>
  <si>
    <t>sRk1</t>
  </si>
  <si>
    <t>sRk2</t>
  </si>
  <si>
    <t>sRk3</t>
  </si>
  <si>
    <t>sRk4</t>
  </si>
  <si>
    <t>A1</t>
  </si>
  <si>
    <t>Mexico</t>
  </si>
  <si>
    <t>South Africa</t>
  </si>
  <si>
    <t>x</t>
  </si>
  <si>
    <t>A2</t>
  </si>
  <si>
    <t>Korea Republic</t>
  </si>
  <si>
    <t>Czechia</t>
  </si>
  <si>
    <t>A3</t>
  </si>
  <si>
    <t>A4</t>
  </si>
  <si>
    <t>Group B</t>
  </si>
  <si>
    <t>B1</t>
  </si>
  <si>
    <t>Canada</t>
  </si>
  <si>
    <t>Bosnia and Herzegovina</t>
  </si>
  <si>
    <t>B2</t>
  </si>
  <si>
    <t>Qatar</t>
  </si>
  <si>
    <t>Switzerland</t>
  </si>
  <si>
    <t>B3</t>
  </si>
  <si>
    <t>B4</t>
  </si>
  <si>
    <t>Group C</t>
  </si>
  <si>
    <t>C1</t>
  </si>
  <si>
    <t>Brazil</t>
  </si>
  <si>
    <t>Morocco</t>
  </si>
  <si>
    <t>C2</t>
  </si>
  <si>
    <t>Haiti</t>
  </si>
  <si>
    <t>Scotland</t>
  </si>
  <si>
    <t>C3</t>
  </si>
  <si>
    <t>C4</t>
  </si>
  <si>
    <t>Group D</t>
  </si>
  <si>
    <t>D1</t>
  </si>
  <si>
    <t>USA</t>
  </si>
  <si>
    <t>Paraguay</t>
  </si>
  <si>
    <t>D2</t>
  </si>
  <si>
    <t>Australia</t>
  </si>
  <si>
    <t>Türkiye</t>
  </si>
  <si>
    <t>D3</t>
  </si>
  <si>
    <t>D4</t>
  </si>
  <si>
    <t>Group E</t>
  </si>
  <si>
    <t>E1</t>
  </si>
  <si>
    <t>Germany</t>
  </si>
  <si>
    <t>Curaçao</t>
  </si>
  <si>
    <t>E2</t>
  </si>
  <si>
    <t>Côte d'Ivoire</t>
  </si>
  <si>
    <t>Ecuador</t>
  </si>
  <si>
    <t>E3</t>
  </si>
  <si>
    <t>E4</t>
  </si>
  <si>
    <t>Group F</t>
  </si>
  <si>
    <t>F1</t>
  </si>
  <si>
    <t>Netherlands</t>
  </si>
  <si>
    <t>Japan</t>
  </si>
  <si>
    <t>F2</t>
  </si>
  <si>
    <t>Sweden</t>
  </si>
  <si>
    <t>Tunisia</t>
  </si>
  <si>
    <t>F3</t>
  </si>
  <si>
    <t>F4</t>
  </si>
  <si>
    <t>Group G</t>
  </si>
  <si>
    <t>G1</t>
  </si>
  <si>
    <t>Belgium</t>
  </si>
  <si>
    <t>Egypt</t>
  </si>
  <si>
    <t>G2</t>
  </si>
  <si>
    <t>IR Iran</t>
  </si>
  <si>
    <t>New Zealand</t>
  </si>
  <si>
    <t>G3</t>
  </si>
  <si>
    <t>G4</t>
  </si>
  <si>
    <t>Group H</t>
  </si>
  <si>
    <t>H1</t>
  </si>
  <si>
    <t>Spain</t>
  </si>
  <si>
    <t>Cabo Verde</t>
  </si>
  <si>
    <t>H2</t>
  </si>
  <si>
    <t>Saudi Arabia</t>
  </si>
  <si>
    <t>Uruguay</t>
  </si>
  <si>
    <t>H3</t>
  </si>
  <si>
    <t>H4</t>
  </si>
  <si>
    <t>Group I</t>
  </si>
  <si>
    <t>I1</t>
  </si>
  <si>
    <t>France</t>
  </si>
  <si>
    <t>Senegal</t>
  </si>
  <si>
    <t>I2</t>
  </si>
  <si>
    <t>Iraq</t>
  </si>
  <si>
    <t>Norway</t>
  </si>
  <si>
    <t>I3</t>
  </si>
  <si>
    <t>I4</t>
  </si>
  <si>
    <t>Group J</t>
  </si>
  <si>
    <t>J1</t>
  </si>
  <si>
    <t>Argentina</t>
  </si>
  <si>
    <t>Algeria</t>
  </si>
  <si>
    <t>J2</t>
  </si>
  <si>
    <t>Austria</t>
  </si>
  <si>
    <t>Jordan</t>
  </si>
  <si>
    <t>J3</t>
  </si>
  <si>
    <t>J4</t>
  </si>
  <si>
    <t>Group K</t>
  </si>
  <si>
    <t>K1</t>
  </si>
  <si>
    <t>Portugal</t>
  </si>
  <si>
    <t>Congo DR</t>
  </si>
  <si>
    <t>K2</t>
  </si>
  <si>
    <t>Uzbekistan</t>
  </si>
  <si>
    <t>Colombia</t>
  </si>
  <si>
    <t>K3</t>
  </si>
  <si>
    <t>K4</t>
  </si>
  <si>
    <t>Group L</t>
  </si>
  <si>
    <t>L1</t>
  </si>
  <si>
    <t>England</t>
  </si>
  <si>
    <t>Croatia</t>
  </si>
  <si>
    <t>L2</t>
  </si>
  <si>
    <t>Ghana</t>
  </si>
  <si>
    <t>Panama</t>
  </si>
  <si>
    <t>L3</t>
  </si>
  <si>
    <t>L4</t>
  </si>
  <si>
    <t>Last update:</t>
  </si>
  <si>
    <t>Points</t>
  </si>
  <si>
    <t>Country</t>
  </si>
  <si>
    <t>World Cup qualified</t>
  </si>
  <si>
    <t>3rd ranked teams</t>
  </si>
  <si>
    <t>+/-</t>
  </si>
  <si>
    <t>GS</t>
  </si>
  <si>
    <t>Score</t>
  </si>
  <si>
    <t>8 =</t>
  </si>
  <si>
    <t>Final Rank</t>
  </si>
  <si>
    <t>Teams to select</t>
  </si>
  <si>
    <t>Best 3rd combination</t>
  </si>
  <si>
    <t>Best Third places</t>
  </si>
  <si>
    <t>FIF8A World Cup 2026</t>
  </si>
  <si>
    <t>Name</t>
  </si>
  <si>
    <t>Surname</t>
  </si>
  <si>
    <t>Office</t>
  </si>
  <si>
    <t>Email</t>
  </si>
  <si>
    <t>Amsterdam</t>
  </si>
  <si>
    <t>Brussels</t>
  </si>
  <si>
    <t>Cologne</t>
  </si>
  <si>
    <t>Frankfurt</t>
  </si>
  <si>
    <t>Hamburg</t>
  </si>
  <si>
    <t>London</t>
  </si>
  <si>
    <t>Lyon</t>
  </si>
  <si>
    <t>Madrid</t>
  </si>
  <si>
    <t>Marseille</t>
  </si>
  <si>
    <t>Milan</t>
  </si>
  <si>
    <t>Munich</t>
  </si>
  <si>
    <t>Nantes</t>
  </si>
  <si>
    <t>New-York</t>
  </si>
  <si>
    <t>Paris</t>
  </si>
  <si>
    <t>Rennes</t>
  </si>
  <si>
    <t>Zürich</t>
  </si>
  <si>
    <t>Internal rules</t>
  </si>
  <si>
    <t>1. Fill in your name, surname and office in the</t>
  </si>
  <si>
    <t/>
  </si>
  <si>
    <t>additional point if you have the right goal difference between the two teams (you predicted A wining 1-0 to B and the final score is 2-1 for A)</t>
  </si>
  <si>
    <t>additional points if you predicted the right score</t>
  </si>
  <si>
    <t>points per group where you predicted the 2 teams going to the knock-out stage (in any order)</t>
  </si>
  <si>
    <t>additional points if you predicted the right group table (in the right order 1,2,3 and 4) ie you win 15 points in total</t>
  </si>
  <si>
    <t>points for each good pronostic (winner or draw) multiplied by the rate</t>
  </si>
  <si>
    <t>OK</t>
  </si>
  <si>
    <t>Source: FIFA Information &amp; FIF8A Analysis</t>
  </si>
  <si>
    <t>Best 3rds &gt;</t>
  </si>
  <si>
    <t>FIFA rankings &gt;</t>
  </si>
  <si>
    <t>Match code</t>
  </si>
  <si>
    <t>Team A</t>
  </si>
  <si>
    <t>Team B</t>
  </si>
  <si>
    <t>Goals A</t>
  </si>
  <si>
    <t>Goals B</t>
  </si>
  <si>
    <t>Who will go into the semi-finals?</t>
  </si>
  <si>
    <t>Who will go into the quarter-finals?</t>
  </si>
  <si>
    <t>Who will go into the Final?</t>
  </si>
  <si>
    <t>Who will win the World Cup 2026?</t>
  </si>
  <si>
    <t>4. Fill your prediction for the final teams that will remain at the latest stages of the competition in</t>
  </si>
  <si>
    <t>points per correct guessed team going into the quarter-finals</t>
  </si>
  <si>
    <t>points per correct guessed team going into the final</t>
  </si>
  <si>
    <t>points per correct guessed team going into the semi-finals</t>
  </si>
  <si>
    <t>points if you found the World Cup champion in advance</t>
  </si>
  <si>
    <t>In addition, there will be points awarded based on your global predictive performance for each group:</t>
  </si>
  <si>
    <t>3. This year we introduce rates to all matches based on actual FIFA Rankings. Points for the standing will be attributed as followed:</t>
  </si>
  <si>
    <t>2. Fill your predictions for the different groups, the group table will be filled automatically depending on your predictions.</t>
  </si>
  <si>
    <t>GLOBAL CHECK</t>
  </si>
  <si>
    <t>Q1</t>
  </si>
  <si>
    <t>Q2</t>
  </si>
  <si>
    <t>Q3</t>
  </si>
  <si>
    <t>Q4</t>
  </si>
  <si>
    <t>Q5</t>
  </si>
  <si>
    <t>Q6</t>
  </si>
  <si>
    <t>Q7</t>
  </si>
  <si>
    <t>Q8</t>
  </si>
  <si>
    <t>S1</t>
  </si>
  <si>
    <t>S2</t>
  </si>
  <si>
    <t>S3</t>
  </si>
  <si>
    <t>S4</t>
  </si>
  <si>
    <t>W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</si>
  <si>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</si>
  <si>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</si>
  <si>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</si>
  <si>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</si>
  <si>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</si>
  <si>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</si>
  <si>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</si>
  <si>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</si>
  <si>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</si>
  <si>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</si>
  <si>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Concat. Group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</si>
</sst>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_);\(#,##0.00\);&quot;-&quot;_)"/>
    <numFmt numFmtId="165" formatCode="[$-409]h:mm\ AM/PM;@"/>
    <numFmt numFmtId="166" formatCode="#,##0.0_);\(#,##0.0\);&quot;-&quot;_)"/>
    <numFmt numFmtId="167" formatCode="#,##0.0_);\(#,##0.0\);\-_._-_);@_._-_)"/>
    <numFmt numFmtId="168" formatCode="0.0"/>
    <numFmt numFmtId="169" formatCode="0.000"/>
  </numFmts>
  <fonts count="38" x14ac:knownFonts="1">
    <font>
      <sz val="11"/>
      <color theme="1"/>
      <name val="Neue Haas Grotesk Display Pro"/>
      <family val="2"/>
    </font>
    <font>
      <b/>
      <sz val="11"/>
      <color theme="3"/>
      <name val="Neue Haas Grotesk Display Pro"/>
      <family val="2"/>
    </font>
    <font>
      <b/>
      <sz val="11"/>
      <color theme="0"/>
      <name val="Neue Haas Grotesk Display Pro"/>
      <family val="2"/>
    </font>
    <font>
      <b/>
      <sz val="11"/>
      <color theme="1"/>
      <name val="Neue Haas Grotesk Display Pro"/>
      <family val="2"/>
    </font>
    <font>
      <sz val="11"/>
      <color theme="0"/>
      <name val="Neue Haas Grotesk Display Pro"/>
      <family val="2"/>
    </font>
    <font>
      <b/>
      <sz val="11"/>
      <color rgb="FF192E4E"/>
      <name val="Neue Haas Grotesk Display Pro"/>
      <family val="2"/>
    </font>
    <font>
      <sz val="11"/>
      <color rgb="FF192E4E"/>
      <name val="Neue Haas Grotesk Display Pro"/>
      <family val="2"/>
    </font>
    <font>
      <i/>
      <sz val="11"/>
      <color rgb="FF192E4E"/>
      <name val="Neue Haas Grotesk Display Pro"/>
      <family val="2"/>
    </font>
    <font>
      <sz val="10"/>
      <color theme="1"/>
      <name val="Helvetica"/>
      <family val="2"/>
    </font>
    <font>
      <sz val="11"/>
      <name val="Neue Haas Grotesk Display Pro"/>
      <family val="2"/>
    </font>
    <font>
      <u val="singleAccounting"/>
      <sz val="11"/>
      <color rgb="FF192E4E"/>
      <name val="Neue Haas Grotesk Display Pro"/>
      <family val="2"/>
    </font>
    <font>
      <b/>
      <sz val="11"/>
      <color rgb="FF0E1A2C"/>
      <name val="Neue Haas Grotesk Display Pro"/>
      <family val="2"/>
    </font>
    <font>
      <u/>
      <sz val="10"/>
      <color theme="10"/>
      <name val="Helvetica"/>
      <family val="2"/>
    </font>
    <font>
      <u/>
      <sz val="11"/>
      <color indexed="12"/>
      <name val="Neue Haas Grotesk Display Pro"/>
      <family val="2"/>
    </font>
    <font>
      <sz val="11"/>
      <color theme="2" tint="-0.749992370372631"/>
      <name val="Neue Haas Grotesk Display Pro"/>
      <family val="2"/>
    </font>
    <font>
      <sz val="11"/>
      <color theme="1" tint="0.499984740745262"/>
      <name val="Neue Haas Grotesk Display Pro"/>
      <family val="2"/>
    </font>
    <font>
      <b/>
      <sz val="11"/>
      <color theme="7"/>
      <name val="Neue Haas Grotesk Display Pro"/>
      <family val="2"/>
    </font>
    <font>
      <b/>
      <sz val="11"/>
      <name val="Neue Haas Grotesk Display Pro"/>
      <family val="2"/>
    </font>
    <font>
      <sz val="11"/>
      <color rgb="FFFF8184"/>
      <name val="Neue Haas Grotesk Display Pro"/>
      <family val="2"/>
    </font>
    <font>
      <b/>
      <sz val="11"/>
      <color theme="5"/>
      <name val="Neue Haas Grotesk Display Pro"/>
      <family val="2"/>
    </font>
    <font>
      <b/>
      <sz val="11"/>
      <color theme="4"/>
      <name val="Neue Haas Grotesk Display Pro"/>
      <family val="2"/>
    </font>
    <font>
      <b/>
      <sz val="11"/>
      <color theme="3" tint="0.59999389629810485"/>
      <name val="Neue Haas Grotesk Display Pro"/>
      <family val="2"/>
    </font>
    <font>
      <b/>
      <sz val="11"/>
      <color theme="7" tint="-0.249977111117893"/>
      <name val="Neue Haas Grotesk Display Pro"/>
      <family val="2"/>
    </font>
    <font>
      <b/>
      <sz val="11"/>
      <color theme="5" tint="0.39997558519241921"/>
      <name val="Neue Haas Grotesk Display Pro"/>
      <family val="2"/>
    </font>
    <font>
      <b/>
      <sz val="11"/>
      <color theme="2" tint="-0.249977111117893"/>
      <name val="Neue Haas Grotesk Display Pro"/>
      <family val="2"/>
    </font>
    <font>
      <b/>
      <sz val="11"/>
      <color theme="9" tint="-0.249977111117893"/>
      <name val="Neue Haas Grotesk Display Pro"/>
      <family val="2"/>
    </font>
    <font>
      <b/>
      <sz val="11"/>
      <color theme="0" tint="-0.499984740745262"/>
      <name val="Neue Haas Grotesk Display Pro"/>
      <family val="2"/>
    </font>
    <font>
      <b/>
      <sz val="11"/>
      <color theme="8"/>
      <name val="Neue Haas Grotesk Display Pro"/>
      <family val="2"/>
    </font>
    <font>
      <b/>
      <sz val="11"/>
      <color rgb="FF92D050"/>
      <name val="Neue Haas Grotesk Display Pro"/>
      <family val="2"/>
    </font>
    <font>
      <b/>
      <i/>
      <sz val="11"/>
      <color rgb="FF2DABFF"/>
      <name val="Neue Haas Grotesk Display Pro"/>
      <family val="2"/>
    </font>
    <font>
      <b/>
      <sz val="11"/>
      <color rgb="FFFFFFFF"/>
      <name val="Neue Haas Grotesk Display Pro"/>
      <family val="2"/>
    </font>
    <font>
      <i/>
      <sz val="11"/>
      <color rgb="FF0E1A2C"/>
      <name val="Neue Haas Grotesk Display Pro"/>
      <family val="2"/>
    </font>
    <font>
      <sz val="10"/>
      <color theme="0"/>
      <name val="Helvetica"/>
    </font>
    <font>
      <sz val="8"/>
      <name val="Helvetica"/>
    </font>
    <font>
      <b/>
      <sz val="10"/>
      <color rgb="FF0061A1"/>
      <name val="Helvetica"/>
    </font>
    <font>
      <b/>
      <sz val="10"/>
      <color theme="1"/>
      <name val="Helvetica"/>
    </font>
    <font>
      <b/>
      <sz val="10"/>
      <color theme="0"/>
      <name val="Neue Haas Grotesk Display Pro"/>
      <family val="2"/>
    </font>
    <font>
      <b/>
      <sz val="10"/>
      <color theme="1"/>
      <name val="Neue Haas Grotesk Display Pro"/>
      <family val="2"/>
    </font>
  </fonts>
  <fills count="2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B0C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E8C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192E4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192E4E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rgb="FF192E4E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rgb="FF0E1A2C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0061A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6" fillId="3" borderId="0"/>
    <xf numFmtId="0" fontId="8" fillId="0" borderId="0"/>
    <xf numFmtId="0" fontId="12" fillId="0" borderId="0" applyNumberFormat="0" applyFill="0" applyBorder="0" applyAlignment="0" applyProtection="0"/>
  </cellStyleXfs>
  <cellXfs count="259">
    <xf numFmtId="0" fontId="0" fillId="0" borderId="0" xfId="0"/>
    <xf numFmtId="0" fontId="5" fillId="0" borderId="0" xfId="0" applyFont="1"/>
    <xf numFmtId="0" fontId="6" fillId="0" borderId="0" xfId="0" applyFont="1"/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3" borderId="0" xfId="1"/>
    <xf numFmtId="0" fontId="10" fillId="0" borderId="0" xfId="0" applyFont="1" applyAlignment="1">
      <alignment horizontal="centerContinuous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164" fontId="0" fillId="0" borderId="0" xfId="0" applyNumberFormat="1"/>
    <xf numFmtId="0" fontId="16" fillId="5" borderId="6" xfId="2" applyFont="1" applyFill="1" applyBorder="1" applyAlignment="1" applyProtection="1">
      <alignment horizontal="center" vertical="center"/>
      <protection locked="0"/>
    </xf>
    <xf numFmtId="0" fontId="1" fillId="5" borderId="6" xfId="2" applyFont="1" applyFill="1" applyBorder="1" applyAlignment="1" applyProtection="1">
      <alignment horizontal="center" vertical="center"/>
      <protection locked="0"/>
    </xf>
    <xf numFmtId="0" fontId="19" fillId="5" borderId="15" xfId="2" applyFont="1" applyFill="1" applyBorder="1" applyAlignment="1" applyProtection="1">
      <alignment horizontal="center" vertical="center"/>
      <protection locked="0"/>
    </xf>
    <xf numFmtId="0" fontId="20" fillId="5" borderId="15" xfId="2" applyFont="1" applyFill="1" applyBorder="1" applyAlignment="1" applyProtection="1">
      <alignment horizontal="center" vertical="center"/>
      <protection locked="0"/>
    </xf>
    <xf numFmtId="0" fontId="21" fillId="5" borderId="15" xfId="2" applyFont="1" applyFill="1" applyBorder="1" applyAlignment="1" applyProtection="1">
      <alignment horizontal="center" vertical="center"/>
      <protection locked="0"/>
    </xf>
    <xf numFmtId="0" fontId="22" fillId="5" borderId="15" xfId="2" applyFont="1" applyFill="1" applyBorder="1" applyAlignment="1" applyProtection="1">
      <alignment horizontal="center" vertical="center"/>
      <protection locked="0"/>
    </xf>
    <xf numFmtId="0" fontId="23" fillId="5" borderId="15" xfId="2" applyFont="1" applyFill="1" applyBorder="1" applyAlignment="1" applyProtection="1">
      <alignment horizontal="center" vertical="center"/>
      <protection locked="0"/>
    </xf>
    <xf numFmtId="0" fontId="24" fillId="5" borderId="15" xfId="2" applyFont="1" applyFill="1" applyBorder="1" applyAlignment="1" applyProtection="1">
      <alignment horizontal="center" vertical="center"/>
      <protection locked="0"/>
    </xf>
    <xf numFmtId="0" fontId="25" fillId="5" borderId="15" xfId="2" applyFont="1" applyFill="1" applyBorder="1" applyAlignment="1" applyProtection="1">
      <alignment horizontal="center" vertical="center"/>
      <protection locked="0"/>
    </xf>
    <xf numFmtId="0" fontId="26" fillId="5" borderId="15" xfId="2" applyFont="1" applyFill="1" applyBorder="1" applyAlignment="1" applyProtection="1">
      <alignment horizontal="center" vertical="center"/>
      <protection locked="0"/>
    </xf>
    <xf numFmtId="0" fontId="27" fillId="5" borderId="15" xfId="2" applyFont="1" applyFill="1" applyBorder="1" applyAlignment="1" applyProtection="1">
      <alignment horizontal="center" vertical="center"/>
      <protection locked="0"/>
    </xf>
    <xf numFmtId="0" fontId="28" fillId="5" borderId="15" xfId="2" applyFont="1" applyFill="1" applyBorder="1" applyAlignment="1" applyProtection="1">
      <alignment horizontal="center" vertical="center"/>
      <protection locked="0"/>
    </xf>
    <xf numFmtId="0" fontId="29" fillId="0" borderId="0" xfId="0" applyFont="1"/>
    <xf numFmtId="0" fontId="5" fillId="0" borderId="16" xfId="0" applyFont="1" applyBorder="1" applyAlignment="1">
      <alignment horizontal="left"/>
    </xf>
    <xf numFmtId="14" fontId="5" fillId="0" borderId="17" xfId="0" applyNumberFormat="1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164" fontId="6" fillId="0" borderId="0" xfId="0" applyNumberFormat="1" applyFont="1"/>
    <xf numFmtId="0" fontId="11" fillId="3" borderId="1" xfId="1" applyFont="1" applyBorder="1" applyAlignment="1">
      <alignment horizontal="right"/>
    </xf>
    <xf numFmtId="0" fontId="11" fillId="0" borderId="18" xfId="0" applyFont="1" applyBorder="1" applyAlignment="1">
      <alignment horizontal="right"/>
    </xf>
    <xf numFmtId="0" fontId="11" fillId="0" borderId="19" xfId="0" applyFont="1" applyBorder="1" applyAlignment="1">
      <alignment horizontal="right"/>
    </xf>
    <xf numFmtId="0" fontId="11" fillId="0" borderId="1" xfId="0" quotePrefix="1" applyFont="1" applyBorder="1" applyAlignment="1">
      <alignment horizontal="right"/>
    </xf>
    <xf numFmtId="0" fontId="6" fillId="0" borderId="20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17" xfId="0" applyFont="1" applyBorder="1"/>
    <xf numFmtId="0" fontId="30" fillId="18" borderId="0" xfId="0" applyFont="1" applyFill="1" applyAlignment="1">
      <alignment horizontal="left" vertical="center"/>
    </xf>
    <xf numFmtId="0" fontId="30" fillId="18" borderId="0" xfId="0" applyFont="1" applyFill="1" applyAlignment="1">
      <alignment horizontal="right" vertical="center"/>
    </xf>
    <xf numFmtId="0" fontId="31" fillId="0" borderId="23" xfId="0" applyFont="1" applyBorder="1" applyAlignment="1">
      <alignment horizontal="left" vertical="center"/>
    </xf>
    <xf numFmtId="0" fontId="31" fillId="3" borderId="23" xfId="1" applyFont="1" applyBorder="1" applyAlignment="1">
      <alignment horizontal="right" vertical="center"/>
    </xf>
    <xf numFmtId="0" fontId="31" fillId="0" borderId="23" xfId="0" applyFont="1" applyBorder="1" applyAlignment="1">
      <alignment horizontal="right" vertical="center"/>
    </xf>
    <xf numFmtId="0" fontId="34" fillId="0" borderId="25" xfId="0" applyFont="1" applyBorder="1"/>
    <xf numFmtId="0" fontId="35" fillId="20" borderId="0" xfId="0" quotePrefix="1" applyFont="1" applyFill="1" applyAlignment="1">
      <alignment horizontal="center"/>
    </xf>
    <xf numFmtId="0" fontId="35" fillId="20" borderId="0" xfId="0" applyFont="1" applyFill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0" fillId="0" borderId="0" xfId="0" quotePrefix="1"/>
    <xf numFmtId="0" fontId="6" fillId="3" borderId="0" xfId="1" quotePrefix="1"/>
    <xf numFmtId="0" fontId="9" fillId="0" borderId="0" xfId="2" applyFont="1"/>
    <xf numFmtId="20" fontId="9" fillId="0" borderId="0" xfId="2" applyNumberFormat="1" applyFont="1"/>
    <xf numFmtId="0" fontId="9" fillId="0" borderId="0" xfId="2" applyFont="1" applyAlignment="1">
      <alignment horizontal="center"/>
    </xf>
    <xf numFmtId="0" fontId="9" fillId="0" borderId="0" xfId="2" applyFont="1" applyAlignment="1">
      <alignment horizontal="right"/>
    </xf>
    <xf numFmtId="0" fontId="9" fillId="0" borderId="0" xfId="2" applyFont="1" applyAlignment="1">
      <alignment horizontal="left"/>
    </xf>
    <xf numFmtId="0" fontId="32" fillId="19" borderId="0" xfId="0" applyFont="1" applyFill="1" applyAlignment="1">
      <alignment horizontal="center" vertical="center"/>
    </xf>
    <xf numFmtId="0" fontId="33" fillId="0" borderId="24" xfId="0" applyFont="1" applyBorder="1" applyAlignment="1">
      <alignment horizontal="center"/>
    </xf>
    <xf numFmtId="0" fontId="2" fillId="4" borderId="0" xfId="0" applyFont="1" applyFill="1" applyAlignment="1">
      <alignment horizontal="centerContinuous"/>
    </xf>
    <xf numFmtId="0" fontId="9" fillId="0" borderId="0" xfId="2" applyFont="1" applyAlignment="1">
      <alignment vertical="center"/>
    </xf>
    <xf numFmtId="0" fontId="2" fillId="4" borderId="0" xfId="2" applyFont="1" applyFill="1" applyAlignment="1">
      <alignment horizontal="centerContinuous" vertical="center"/>
    </xf>
    <xf numFmtId="0" fontId="9" fillId="4" borderId="0" xfId="2" applyFont="1" applyFill="1" applyAlignment="1">
      <alignment vertical="center"/>
    </xf>
    <xf numFmtId="0" fontId="2" fillId="4" borderId="0" xfId="2" applyFont="1" applyFill="1" applyAlignment="1">
      <alignment vertical="center"/>
    </xf>
    <xf numFmtId="0" fontId="2" fillId="4" borderId="0" xfId="2" applyFont="1" applyFill="1" applyAlignment="1">
      <alignment horizontal="center" vertical="center"/>
    </xf>
    <xf numFmtId="0" fontId="13" fillId="0" borderId="0" xfId="3" applyFont="1" applyFill="1" applyAlignment="1" applyProtection="1">
      <alignment horizontal="left"/>
    </xf>
    <xf numFmtId="0" fontId="3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16" fontId="14" fillId="5" borderId="0" xfId="2" applyNumberFormat="1" applyFont="1" applyFill="1" applyAlignment="1">
      <alignment horizontal="center" vertical="center" wrapText="1"/>
    </xf>
    <xf numFmtId="165" fontId="15" fillId="5" borderId="0" xfId="2" applyNumberFormat="1" applyFont="1" applyFill="1" applyAlignment="1">
      <alignment horizontal="center" vertical="center"/>
    </xf>
    <xf numFmtId="0" fontId="16" fillId="5" borderId="0" xfId="2" applyFont="1" applyFill="1" applyAlignment="1">
      <alignment vertical="center"/>
    </xf>
    <xf numFmtId="0" fontId="16" fillId="5" borderId="0" xfId="2" applyFont="1" applyFill="1" applyAlignment="1">
      <alignment horizontal="right" vertical="center"/>
    </xf>
    <xf numFmtId="1" fontId="16" fillId="6" borderId="0" xfId="2" applyNumberFormat="1" applyFont="1" applyFill="1" applyAlignment="1">
      <alignment horizontal="center" vertical="center"/>
    </xf>
    <xf numFmtId="0" fontId="16" fillId="6" borderId="0" xfId="2" applyFont="1" applyFill="1" applyAlignment="1">
      <alignment vertical="center"/>
    </xf>
    <xf numFmtId="0" fontId="16" fillId="6" borderId="0" xfId="2" applyFont="1" applyFill="1" applyAlignment="1">
      <alignment horizontal="center" vertical="center"/>
    </xf>
    <xf numFmtId="166" fontId="9" fillId="0" borderId="0" xfId="2" applyNumberFormat="1" applyFont="1"/>
    <xf numFmtId="166" fontId="0" fillId="0" borderId="0" xfId="0" applyNumberFormat="1"/>
    <xf numFmtId="166" fontId="9" fillId="0" borderId="0" xfId="2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7" fontId="0" fillId="0" borderId="0" xfId="0" applyNumberFormat="1"/>
    <xf numFmtId="168" fontId="9" fillId="0" borderId="0" xfId="2" applyNumberFormat="1" applyFont="1"/>
    <xf numFmtId="2" fontId="9" fillId="0" borderId="0" xfId="2" applyNumberFormat="1" applyFont="1"/>
    <xf numFmtId="2" fontId="9" fillId="0" borderId="7" xfId="2" applyNumberFormat="1" applyFont="1" applyBorder="1" applyAlignment="1">
      <alignment horizontal="center"/>
    </xf>
    <xf numFmtId="0" fontId="9" fillId="0" borderId="8" xfId="2" applyFont="1" applyBorder="1"/>
    <xf numFmtId="0" fontId="9" fillId="0" borderId="9" xfId="2" applyFont="1" applyBorder="1" applyAlignment="1">
      <alignment horizontal="center"/>
    </xf>
    <xf numFmtId="0" fontId="9" fillId="0" borderId="10" xfId="2" applyFont="1" applyBorder="1" applyAlignment="1">
      <alignment horizontal="center"/>
    </xf>
    <xf numFmtId="168" fontId="9" fillId="0" borderId="0" xfId="2" applyNumberFormat="1" applyFont="1" applyAlignment="1">
      <alignment horizontal="center"/>
    </xf>
    <xf numFmtId="168" fontId="9" fillId="0" borderId="10" xfId="2" applyNumberFormat="1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16" fontId="14" fillId="6" borderId="0" xfId="2" applyNumberFormat="1" applyFont="1" applyFill="1" applyAlignment="1">
      <alignment horizontal="center" vertical="center" wrapText="1"/>
    </xf>
    <xf numFmtId="165" fontId="15" fillId="6" borderId="0" xfId="2" applyNumberFormat="1" applyFont="1" applyFill="1" applyAlignment="1">
      <alignment horizontal="center" vertical="center"/>
    </xf>
    <xf numFmtId="0" fontId="16" fillId="6" borderId="0" xfId="2" applyFont="1" applyFill="1" applyAlignment="1">
      <alignment horizontal="right" vertical="center"/>
    </xf>
    <xf numFmtId="2" fontId="9" fillId="0" borderId="8" xfId="2" applyNumberFormat="1" applyFont="1" applyBorder="1" applyAlignment="1">
      <alignment horizontal="center"/>
    </xf>
    <xf numFmtId="168" fontId="9" fillId="0" borderId="9" xfId="2" applyNumberFormat="1" applyFont="1" applyBorder="1" applyAlignment="1">
      <alignment horizontal="center"/>
    </xf>
    <xf numFmtId="1" fontId="9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2" fontId="9" fillId="0" borderId="12" xfId="2" applyNumberFormat="1" applyFont="1" applyBorder="1" applyAlignment="1">
      <alignment horizontal="center"/>
    </xf>
    <xf numFmtId="0" fontId="9" fillId="0" borderId="12" xfId="2" applyFont="1" applyBorder="1"/>
    <xf numFmtId="0" fontId="9" fillId="0" borderId="13" xfId="2" applyFont="1" applyBorder="1" applyAlignment="1">
      <alignment horizontal="center"/>
    </xf>
    <xf numFmtId="0" fontId="9" fillId="0" borderId="14" xfId="2" applyFont="1" applyBorder="1" applyAlignment="1">
      <alignment horizontal="center"/>
    </xf>
    <xf numFmtId="168" fontId="9" fillId="0" borderId="13" xfId="2" applyNumberFormat="1" applyFont="1" applyBorder="1" applyAlignment="1">
      <alignment horizontal="center"/>
    </xf>
    <xf numFmtId="168" fontId="9" fillId="0" borderId="11" xfId="2" applyNumberFormat="1" applyFont="1" applyBorder="1" applyAlignment="1">
      <alignment horizontal="center"/>
    </xf>
    <xf numFmtId="0" fontId="4" fillId="0" borderId="0" xfId="2" applyFont="1" applyAlignment="1">
      <alignment horizontal="center" vertical="center"/>
    </xf>
    <xf numFmtId="0" fontId="2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" fontId="9" fillId="0" borderId="0" xfId="2" applyNumberFormat="1" applyFont="1" applyAlignment="1">
      <alignment vertical="center"/>
    </xf>
    <xf numFmtId="165" fontId="9" fillId="0" borderId="0" xfId="2" applyNumberFormat="1" applyFont="1" applyAlignment="1">
      <alignment vertical="center"/>
    </xf>
    <xf numFmtId="16" fontId="2" fillId="7" borderId="0" xfId="2" applyNumberFormat="1" applyFont="1" applyFill="1" applyAlignment="1">
      <alignment horizontal="centerContinuous" vertical="center"/>
    </xf>
    <xf numFmtId="165" fontId="2" fillId="7" borderId="0" xfId="2" applyNumberFormat="1" applyFont="1" applyFill="1" applyAlignment="1">
      <alignment horizontal="centerContinuous" vertical="center"/>
    </xf>
    <xf numFmtId="0" fontId="2" fillId="7" borderId="0" xfId="2" applyFont="1" applyFill="1" applyAlignment="1">
      <alignment horizontal="centerContinuous" vertical="center"/>
    </xf>
    <xf numFmtId="0" fontId="9" fillId="7" borderId="0" xfId="2" applyFont="1" applyFill="1" applyAlignment="1">
      <alignment horizontal="center" vertical="center"/>
    </xf>
    <xf numFmtId="0" fontId="2" fillId="7" borderId="0" xfId="2" applyFont="1" applyFill="1" applyAlignment="1">
      <alignment vertical="center"/>
    </xf>
    <xf numFmtId="0" fontId="2" fillId="7" borderId="0" xfId="2" applyFont="1" applyFill="1" applyAlignment="1">
      <alignment horizontal="center" vertical="center"/>
    </xf>
    <xf numFmtId="0" fontId="1" fillId="5" borderId="0" xfId="2" applyFont="1" applyFill="1" applyAlignment="1">
      <alignment vertical="center"/>
    </xf>
    <xf numFmtId="0" fontId="1" fillId="5" borderId="0" xfId="2" applyFont="1" applyFill="1" applyAlignment="1">
      <alignment horizontal="right" vertical="center" wrapText="1"/>
    </xf>
    <xf numFmtId="1" fontId="1" fillId="6" borderId="0" xfId="2" applyNumberFormat="1" applyFont="1" applyFill="1" applyAlignment="1">
      <alignment horizontal="center" vertical="center"/>
    </xf>
    <xf numFmtId="0" fontId="1" fillId="6" borderId="0" xfId="2" applyFont="1" applyFill="1" applyAlignment="1">
      <alignment vertical="center"/>
    </xf>
    <xf numFmtId="0" fontId="1" fillId="6" borderId="0" xfId="2" applyFont="1" applyFill="1" applyAlignment="1">
      <alignment horizontal="center" vertical="center"/>
    </xf>
    <xf numFmtId="0" fontId="17" fillId="0" borderId="0" xfId="2" applyFont="1"/>
    <xf numFmtId="0" fontId="1" fillId="6" borderId="0" xfId="2" applyFont="1" applyFill="1" applyAlignment="1">
      <alignment horizontal="right" vertical="center"/>
    </xf>
    <xf numFmtId="0" fontId="1" fillId="5" borderId="0" xfId="2" applyFont="1" applyFill="1" applyAlignment="1">
      <alignment horizontal="right" vertical="center"/>
    </xf>
    <xf numFmtId="0" fontId="1" fillId="6" borderId="0" xfId="2" applyFont="1" applyFill="1" applyAlignment="1">
      <alignment horizontal="right" vertical="center" wrapText="1"/>
    </xf>
    <xf numFmtId="0" fontId="1" fillId="6" borderId="0" xfId="2" applyFont="1" applyFill="1" applyAlignment="1">
      <alignment vertical="center" wrapText="1"/>
    </xf>
    <xf numFmtId="0" fontId="18" fillId="0" borderId="0" xfId="2" applyFont="1"/>
    <xf numFmtId="16" fontId="2" fillId="8" borderId="0" xfId="2" applyNumberFormat="1" applyFont="1" applyFill="1" applyAlignment="1">
      <alignment horizontal="centerContinuous" vertical="center"/>
    </xf>
    <xf numFmtId="165" fontId="2" fillId="8" borderId="0" xfId="2" applyNumberFormat="1" applyFont="1" applyFill="1" applyAlignment="1">
      <alignment horizontal="centerContinuous" vertical="center"/>
    </xf>
    <xf numFmtId="0" fontId="2" fillId="8" borderId="0" xfId="2" applyFont="1" applyFill="1" applyAlignment="1">
      <alignment horizontal="centerContinuous" vertical="center"/>
    </xf>
    <xf numFmtId="0" fontId="9" fillId="8" borderId="0" xfId="2" applyFont="1" applyFill="1" applyAlignment="1">
      <alignment horizontal="center" vertical="center"/>
    </xf>
    <xf numFmtId="0" fontId="2" fillId="8" borderId="0" xfId="2" applyFont="1" applyFill="1" applyAlignment="1">
      <alignment vertical="center"/>
    </xf>
    <xf numFmtId="0" fontId="2" fillId="8" borderId="0" xfId="2" applyFont="1" applyFill="1" applyAlignment="1">
      <alignment horizontal="center" vertical="center"/>
    </xf>
    <xf numFmtId="0" fontId="19" fillId="5" borderId="0" xfId="2" applyFont="1" applyFill="1" applyAlignment="1">
      <alignment vertical="center"/>
    </xf>
    <xf numFmtId="0" fontId="19" fillId="5" borderId="0" xfId="2" applyFont="1" applyFill="1" applyAlignment="1">
      <alignment horizontal="right" vertical="center"/>
    </xf>
    <xf numFmtId="1" fontId="19" fillId="6" borderId="0" xfId="2" applyNumberFormat="1" applyFont="1" applyFill="1" applyAlignment="1">
      <alignment horizontal="center" vertical="center"/>
    </xf>
    <xf numFmtId="0" fontId="19" fillId="6" borderId="0" xfId="2" applyFont="1" applyFill="1" applyAlignment="1">
      <alignment vertical="center"/>
    </xf>
    <xf numFmtId="0" fontId="19" fillId="6" borderId="0" xfId="2" applyFont="1" applyFill="1" applyAlignment="1">
      <alignment horizontal="center" vertical="center"/>
    </xf>
    <xf numFmtId="0" fontId="19" fillId="6" borderId="0" xfId="2" applyFont="1" applyFill="1" applyAlignment="1">
      <alignment horizontal="right" vertical="center"/>
    </xf>
    <xf numFmtId="0" fontId="18" fillId="0" borderId="0" xfId="2" applyFont="1" applyAlignment="1">
      <alignment vertical="center"/>
    </xf>
    <xf numFmtId="16" fontId="2" fillId="9" borderId="0" xfId="2" applyNumberFormat="1" applyFont="1" applyFill="1" applyAlignment="1">
      <alignment horizontal="centerContinuous" vertical="center"/>
    </xf>
    <xf numFmtId="165" fontId="2" fillId="9" borderId="0" xfId="2" applyNumberFormat="1" applyFont="1" applyFill="1" applyAlignment="1">
      <alignment horizontal="centerContinuous" vertical="center"/>
    </xf>
    <xf numFmtId="0" fontId="2" fillId="9" borderId="0" xfId="2" applyFont="1" applyFill="1" applyAlignment="1">
      <alignment horizontal="centerContinuous" vertical="center"/>
    </xf>
    <xf numFmtId="0" fontId="9" fillId="9" borderId="0" xfId="2" applyFont="1" applyFill="1" applyAlignment="1">
      <alignment horizontal="center" vertical="center"/>
    </xf>
    <xf numFmtId="0" fontId="2" fillId="9" borderId="0" xfId="2" applyFont="1" applyFill="1" applyAlignment="1">
      <alignment vertical="center"/>
    </xf>
    <xf numFmtId="0" fontId="2" fillId="9" borderId="0" xfId="2" applyFont="1" applyFill="1" applyAlignment="1">
      <alignment horizontal="center" vertical="center"/>
    </xf>
    <xf numFmtId="0" fontId="20" fillId="5" borderId="0" xfId="2" applyFont="1" applyFill="1" applyAlignment="1">
      <alignment vertical="center"/>
    </xf>
    <xf numFmtId="0" fontId="20" fillId="5" borderId="0" xfId="2" applyFont="1" applyFill="1" applyAlignment="1">
      <alignment horizontal="right" vertical="center"/>
    </xf>
    <xf numFmtId="1" fontId="20" fillId="6" borderId="0" xfId="2" applyNumberFormat="1" applyFont="1" applyFill="1" applyAlignment="1">
      <alignment horizontal="center" vertical="center"/>
    </xf>
    <xf numFmtId="0" fontId="20" fillId="6" borderId="0" xfId="2" applyFont="1" applyFill="1" applyAlignment="1">
      <alignment vertical="center"/>
    </xf>
    <xf numFmtId="0" fontId="20" fillId="6" borderId="0" xfId="2" applyFont="1" applyFill="1" applyAlignment="1">
      <alignment horizontal="center" vertical="center"/>
    </xf>
    <xf numFmtId="0" fontId="17" fillId="0" borderId="0" xfId="2" applyFont="1" applyAlignment="1">
      <alignment horizontal="left" vertical="top"/>
    </xf>
    <xf numFmtId="0" fontId="20" fillId="6" borderId="0" xfId="2" applyFont="1" applyFill="1" applyAlignment="1">
      <alignment horizontal="right" vertical="center"/>
    </xf>
    <xf numFmtId="0" fontId="17" fillId="0" borderId="0" xfId="2" applyFont="1" applyAlignment="1">
      <alignment horizontal="left"/>
    </xf>
    <xf numFmtId="16" fontId="2" fillId="10" borderId="0" xfId="2" applyNumberFormat="1" applyFont="1" applyFill="1" applyAlignment="1">
      <alignment horizontal="centerContinuous" vertical="center"/>
    </xf>
    <xf numFmtId="165" fontId="2" fillId="10" borderId="0" xfId="2" applyNumberFormat="1" applyFont="1" applyFill="1" applyAlignment="1">
      <alignment horizontal="centerContinuous" vertical="center"/>
    </xf>
    <xf numFmtId="0" fontId="2" fillId="10" borderId="0" xfId="2" applyFont="1" applyFill="1" applyAlignment="1">
      <alignment horizontal="centerContinuous" vertical="center"/>
    </xf>
    <xf numFmtId="0" fontId="9" fillId="10" borderId="0" xfId="2" applyFont="1" applyFill="1" applyAlignment="1">
      <alignment horizontal="center" vertical="center"/>
    </xf>
    <xf numFmtId="0" fontId="2" fillId="10" borderId="0" xfId="2" applyFont="1" applyFill="1" applyAlignment="1">
      <alignment vertical="center"/>
    </xf>
    <xf numFmtId="0" fontId="2" fillId="10" borderId="0" xfId="2" applyFont="1" applyFill="1" applyAlignment="1">
      <alignment horizontal="center" vertical="center"/>
    </xf>
    <xf numFmtId="0" fontId="21" fillId="5" borderId="0" xfId="2" applyFont="1" applyFill="1" applyAlignment="1">
      <alignment vertical="center"/>
    </xf>
    <xf numFmtId="0" fontId="21" fillId="5" borderId="0" xfId="2" applyFont="1" applyFill="1" applyAlignment="1">
      <alignment horizontal="right" vertical="center"/>
    </xf>
    <xf numFmtId="1" fontId="21" fillId="6" borderId="0" xfId="2" applyNumberFormat="1" applyFont="1" applyFill="1" applyAlignment="1">
      <alignment horizontal="center" vertical="center"/>
    </xf>
    <xf numFmtId="0" fontId="21" fillId="6" borderId="0" xfId="2" applyFont="1" applyFill="1" applyAlignment="1">
      <alignment vertical="center"/>
    </xf>
    <xf numFmtId="0" fontId="21" fillId="6" borderId="0" xfId="2" applyFont="1" applyFill="1" applyAlignment="1">
      <alignment horizontal="center" vertical="center"/>
    </xf>
    <xf numFmtId="0" fontId="21" fillId="6" borderId="0" xfId="2" applyFont="1" applyFill="1" applyAlignment="1">
      <alignment horizontal="right" vertical="center"/>
    </xf>
    <xf numFmtId="16" fontId="2" fillId="11" borderId="0" xfId="2" applyNumberFormat="1" applyFont="1" applyFill="1" applyAlignment="1">
      <alignment horizontal="centerContinuous" vertical="center"/>
    </xf>
    <xf numFmtId="165" fontId="2" fillId="11" borderId="0" xfId="2" applyNumberFormat="1" applyFont="1" applyFill="1" applyAlignment="1">
      <alignment horizontal="centerContinuous" vertical="center"/>
    </xf>
    <xf numFmtId="0" fontId="2" fillId="11" borderId="0" xfId="2" applyFont="1" applyFill="1" applyAlignment="1">
      <alignment horizontal="centerContinuous" vertical="center"/>
    </xf>
    <xf numFmtId="0" fontId="9" fillId="11" borderId="0" xfId="2" applyFont="1" applyFill="1" applyAlignment="1">
      <alignment horizontal="center" vertical="center"/>
    </xf>
    <xf numFmtId="0" fontId="2" fillId="11" borderId="0" xfId="2" applyFont="1" applyFill="1" applyAlignment="1">
      <alignment vertical="center"/>
    </xf>
    <xf numFmtId="0" fontId="2" fillId="11" borderId="0" xfId="2" applyFont="1" applyFill="1" applyAlignment="1">
      <alignment horizontal="center" vertical="center"/>
    </xf>
    <xf numFmtId="0" fontId="22" fillId="5" borderId="0" xfId="2" applyFont="1" applyFill="1" applyAlignment="1">
      <alignment vertical="center"/>
    </xf>
    <xf numFmtId="0" fontId="22" fillId="5" borderId="0" xfId="2" applyFont="1" applyFill="1" applyAlignment="1">
      <alignment horizontal="right" vertical="center"/>
    </xf>
    <xf numFmtId="1" fontId="22" fillId="6" borderId="0" xfId="2" applyNumberFormat="1" applyFont="1" applyFill="1" applyAlignment="1">
      <alignment horizontal="center" vertical="center"/>
    </xf>
    <xf numFmtId="0" fontId="22" fillId="6" borderId="0" xfId="2" applyFont="1" applyFill="1" applyAlignment="1">
      <alignment vertical="center"/>
    </xf>
    <xf numFmtId="0" fontId="22" fillId="6" borderId="0" xfId="2" applyFont="1" applyFill="1" applyAlignment="1">
      <alignment horizontal="center" vertical="center"/>
    </xf>
    <xf numFmtId="0" fontId="22" fillId="6" borderId="0" xfId="2" applyFont="1" applyFill="1" applyAlignment="1">
      <alignment horizontal="right" vertical="center"/>
    </xf>
    <xf numFmtId="16" fontId="2" fillId="12" borderId="0" xfId="2" applyNumberFormat="1" applyFont="1" applyFill="1" applyAlignment="1">
      <alignment horizontal="centerContinuous" vertical="center"/>
    </xf>
    <xf numFmtId="165" fontId="2" fillId="12" borderId="0" xfId="2" applyNumberFormat="1" applyFont="1" applyFill="1" applyAlignment="1">
      <alignment horizontal="centerContinuous" vertical="center"/>
    </xf>
    <xf numFmtId="0" fontId="2" fillId="12" borderId="0" xfId="2" applyFont="1" applyFill="1" applyAlignment="1">
      <alignment horizontal="centerContinuous" vertical="center"/>
    </xf>
    <xf numFmtId="0" fontId="9" fillId="12" borderId="0" xfId="2" applyFont="1" applyFill="1" applyAlignment="1">
      <alignment horizontal="center" vertical="center"/>
    </xf>
    <xf numFmtId="0" fontId="2" fillId="12" borderId="0" xfId="2" applyFont="1" applyFill="1" applyAlignment="1">
      <alignment vertical="center"/>
    </xf>
    <xf numFmtId="0" fontId="2" fillId="12" borderId="0" xfId="2" applyFont="1" applyFill="1" applyAlignment="1">
      <alignment horizontal="center" vertical="center"/>
    </xf>
    <xf numFmtId="0" fontId="17" fillId="0" borderId="0" xfId="2" applyFont="1" applyAlignment="1">
      <alignment vertical="top"/>
    </xf>
    <xf numFmtId="0" fontId="23" fillId="5" borderId="0" xfId="2" applyFont="1" applyFill="1" applyAlignment="1">
      <alignment vertical="center"/>
    </xf>
    <xf numFmtId="0" fontId="23" fillId="5" borderId="0" xfId="2" applyFont="1" applyFill="1" applyAlignment="1">
      <alignment horizontal="right" vertical="center"/>
    </xf>
    <xf numFmtId="1" fontId="23" fillId="6" borderId="0" xfId="2" applyNumberFormat="1" applyFont="1" applyFill="1" applyAlignment="1">
      <alignment horizontal="center" vertical="center"/>
    </xf>
    <xf numFmtId="0" fontId="23" fillId="6" borderId="0" xfId="2" applyFont="1" applyFill="1" applyAlignment="1">
      <alignment vertical="center"/>
    </xf>
    <xf numFmtId="0" fontId="23" fillId="6" borderId="0" xfId="2" applyFont="1" applyFill="1" applyAlignment="1">
      <alignment horizontal="center" vertical="center"/>
    </xf>
    <xf numFmtId="0" fontId="23" fillId="6" borderId="0" xfId="2" applyFont="1" applyFill="1" applyAlignment="1">
      <alignment horizontal="right" vertical="center"/>
    </xf>
    <xf numFmtId="2" fontId="9" fillId="0" borderId="0" xfId="2" applyNumberFormat="1" applyFont="1" applyAlignment="1">
      <alignment horizontal="center"/>
    </xf>
    <xf numFmtId="0" fontId="0" fillId="0" borderId="0" xfId="2" applyFont="1"/>
    <xf numFmtId="16" fontId="2" fillId="13" borderId="0" xfId="2" applyNumberFormat="1" applyFont="1" applyFill="1" applyAlignment="1">
      <alignment horizontal="centerContinuous" vertical="center"/>
    </xf>
    <xf numFmtId="165" fontId="2" fillId="13" borderId="0" xfId="2" applyNumberFormat="1" applyFont="1" applyFill="1" applyAlignment="1">
      <alignment horizontal="centerContinuous" vertical="center"/>
    </xf>
    <xf numFmtId="0" fontId="2" fillId="13" borderId="0" xfId="2" applyFont="1" applyFill="1" applyAlignment="1">
      <alignment horizontal="centerContinuous" vertical="center"/>
    </xf>
    <xf numFmtId="0" fontId="9" fillId="13" borderId="0" xfId="2" applyFont="1" applyFill="1" applyAlignment="1">
      <alignment horizontal="center" vertical="center"/>
    </xf>
    <xf numFmtId="0" fontId="2" fillId="13" borderId="0" xfId="2" applyFont="1" applyFill="1" applyAlignment="1">
      <alignment vertical="center"/>
    </xf>
    <xf numFmtId="0" fontId="2" fillId="13" borderId="0" xfId="2" applyFont="1" applyFill="1" applyAlignment="1">
      <alignment horizontal="center" vertical="center"/>
    </xf>
    <xf numFmtId="0" fontId="24" fillId="5" borderId="0" xfId="2" applyFont="1" applyFill="1" applyAlignment="1">
      <alignment vertical="center"/>
    </xf>
    <xf numFmtId="0" fontId="24" fillId="5" borderId="0" xfId="2" applyFont="1" applyFill="1" applyAlignment="1">
      <alignment horizontal="right" vertical="center"/>
    </xf>
    <xf numFmtId="1" fontId="24" fillId="6" borderId="0" xfId="2" applyNumberFormat="1" applyFont="1" applyFill="1" applyAlignment="1">
      <alignment horizontal="center" vertical="center"/>
    </xf>
    <xf numFmtId="0" fontId="24" fillId="6" borderId="0" xfId="2" applyFont="1" applyFill="1" applyAlignment="1">
      <alignment vertical="center"/>
    </xf>
    <xf numFmtId="0" fontId="24" fillId="6" borderId="0" xfId="2" applyFont="1" applyFill="1" applyAlignment="1">
      <alignment horizontal="center" vertical="center"/>
    </xf>
    <xf numFmtId="0" fontId="24" fillId="6" borderId="0" xfId="2" applyFont="1" applyFill="1" applyAlignment="1">
      <alignment horizontal="right" vertical="center"/>
    </xf>
    <xf numFmtId="16" fontId="9" fillId="0" borderId="0" xfId="2" applyNumberFormat="1" applyFont="1"/>
    <xf numFmtId="165" fontId="9" fillId="0" borderId="0" xfId="2" applyNumberFormat="1" applyFont="1"/>
    <xf numFmtId="16" fontId="2" fillId="14" borderId="0" xfId="2" applyNumberFormat="1" applyFont="1" applyFill="1" applyAlignment="1">
      <alignment horizontal="centerContinuous" vertical="center"/>
    </xf>
    <xf numFmtId="165" fontId="2" fillId="14" borderId="0" xfId="2" applyNumberFormat="1" applyFont="1" applyFill="1" applyAlignment="1">
      <alignment horizontal="centerContinuous" vertical="center"/>
    </xf>
    <xf numFmtId="0" fontId="2" fillId="14" borderId="0" xfId="2" applyFont="1" applyFill="1" applyAlignment="1">
      <alignment horizontal="centerContinuous" vertical="center"/>
    </xf>
    <xf numFmtId="0" fontId="9" fillId="14" borderId="0" xfId="2" applyFont="1" applyFill="1" applyAlignment="1">
      <alignment horizontal="center" vertical="center"/>
    </xf>
    <xf numFmtId="0" fontId="2" fillId="14" borderId="0" xfId="2" applyFont="1" applyFill="1" applyAlignment="1">
      <alignment vertical="center"/>
    </xf>
    <xf numFmtId="0" fontId="2" fillId="14" borderId="0" xfId="2" applyFont="1" applyFill="1" applyAlignment="1">
      <alignment horizontal="center" vertical="center"/>
    </xf>
    <xf numFmtId="0" fontId="25" fillId="5" borderId="0" xfId="2" applyFont="1" applyFill="1" applyAlignment="1">
      <alignment vertical="center"/>
    </xf>
    <xf numFmtId="0" fontId="25" fillId="5" borderId="0" xfId="2" applyFont="1" applyFill="1" applyAlignment="1">
      <alignment horizontal="right" vertical="center"/>
    </xf>
    <xf numFmtId="1" fontId="25" fillId="6" borderId="0" xfId="2" applyNumberFormat="1" applyFont="1" applyFill="1" applyAlignment="1">
      <alignment horizontal="center" vertical="center"/>
    </xf>
    <xf numFmtId="0" fontId="25" fillId="6" borderId="0" xfId="2" applyFont="1" applyFill="1" applyAlignment="1">
      <alignment vertical="center"/>
    </xf>
    <xf numFmtId="0" fontId="25" fillId="6" borderId="0" xfId="2" applyFont="1" applyFill="1" applyAlignment="1">
      <alignment horizontal="center" vertical="center"/>
    </xf>
    <xf numFmtId="0" fontId="25" fillId="6" borderId="0" xfId="2" applyFont="1" applyFill="1" applyAlignment="1">
      <alignment horizontal="right" vertical="center"/>
    </xf>
    <xf numFmtId="16" fontId="2" fillId="15" borderId="0" xfId="2" applyNumberFormat="1" applyFont="1" applyFill="1" applyAlignment="1">
      <alignment horizontal="centerContinuous" vertical="center"/>
    </xf>
    <xf numFmtId="165" fontId="2" fillId="15" borderId="0" xfId="2" applyNumberFormat="1" applyFont="1" applyFill="1" applyAlignment="1">
      <alignment horizontal="centerContinuous" vertical="center"/>
    </xf>
    <xf numFmtId="0" fontId="2" fillId="15" borderId="0" xfId="2" applyFont="1" applyFill="1" applyAlignment="1">
      <alignment horizontal="centerContinuous" vertical="center"/>
    </xf>
    <xf numFmtId="0" fontId="9" fillId="15" borderId="0" xfId="2" applyFont="1" applyFill="1" applyAlignment="1">
      <alignment horizontal="center" vertical="center"/>
    </xf>
    <xf numFmtId="0" fontId="2" fillId="15" borderId="0" xfId="2" applyFont="1" applyFill="1" applyAlignment="1">
      <alignment vertical="center"/>
    </xf>
    <xf numFmtId="0" fontId="2" fillId="15" borderId="0" xfId="2" applyFont="1" applyFill="1" applyAlignment="1">
      <alignment horizontal="center" vertical="center"/>
    </xf>
    <xf numFmtId="0" fontId="26" fillId="5" borderId="0" xfId="2" applyFont="1" applyFill="1" applyAlignment="1">
      <alignment vertical="center"/>
    </xf>
    <xf numFmtId="0" fontId="26" fillId="5" borderId="0" xfId="2" applyFont="1" applyFill="1" applyAlignment="1">
      <alignment horizontal="right" vertical="center"/>
    </xf>
    <xf numFmtId="1" fontId="26" fillId="6" borderId="0" xfId="2" applyNumberFormat="1" applyFont="1" applyFill="1" applyAlignment="1">
      <alignment horizontal="center" vertical="center"/>
    </xf>
    <xf numFmtId="0" fontId="26" fillId="6" borderId="0" xfId="2" applyFont="1" applyFill="1" applyAlignment="1">
      <alignment vertical="center"/>
    </xf>
    <xf numFmtId="0" fontId="26" fillId="6" borderId="0" xfId="2" applyFont="1" applyFill="1" applyAlignment="1">
      <alignment horizontal="center" vertical="center"/>
    </xf>
    <xf numFmtId="0" fontId="26" fillId="6" borderId="0" xfId="2" applyFont="1" applyFill="1" applyAlignment="1">
      <alignment horizontal="right" vertical="center"/>
    </xf>
    <xf numFmtId="16" fontId="2" fillId="16" borderId="0" xfId="2" applyNumberFormat="1" applyFont="1" applyFill="1" applyAlignment="1">
      <alignment horizontal="centerContinuous" vertical="center"/>
    </xf>
    <xf numFmtId="165" fontId="2" fillId="16" borderId="0" xfId="2" applyNumberFormat="1" applyFont="1" applyFill="1" applyAlignment="1">
      <alignment horizontal="centerContinuous" vertical="center"/>
    </xf>
    <xf numFmtId="0" fontId="2" fillId="16" borderId="0" xfId="2" applyFont="1" applyFill="1" applyAlignment="1">
      <alignment horizontal="centerContinuous" vertical="center"/>
    </xf>
    <xf numFmtId="0" fontId="9" fillId="16" borderId="0" xfId="2" applyFont="1" applyFill="1" applyAlignment="1">
      <alignment horizontal="center" vertical="center"/>
    </xf>
    <xf numFmtId="0" fontId="2" fillId="16" borderId="0" xfId="2" applyFont="1" applyFill="1" applyAlignment="1">
      <alignment vertical="center"/>
    </xf>
    <xf numFmtId="0" fontId="2" fillId="16" borderId="0" xfId="2" applyFont="1" applyFill="1" applyAlignment="1">
      <alignment horizontal="center" vertical="center"/>
    </xf>
    <xf numFmtId="0" fontId="27" fillId="5" borderId="0" xfId="2" applyFont="1" applyFill="1" applyAlignment="1">
      <alignment vertical="center"/>
    </xf>
    <xf numFmtId="0" fontId="27" fillId="5" borderId="0" xfId="2" applyFont="1" applyFill="1" applyAlignment="1">
      <alignment horizontal="right" vertical="center"/>
    </xf>
    <xf numFmtId="1" fontId="27" fillId="6" borderId="0" xfId="2" applyNumberFormat="1" applyFont="1" applyFill="1" applyAlignment="1">
      <alignment horizontal="center" vertical="center"/>
    </xf>
    <xf numFmtId="0" fontId="27" fillId="6" borderId="0" xfId="2" applyFont="1" applyFill="1" applyAlignment="1">
      <alignment vertical="center"/>
    </xf>
    <xf numFmtId="0" fontId="27" fillId="6" borderId="0" xfId="2" applyFont="1" applyFill="1" applyAlignment="1">
      <alignment horizontal="center" vertical="center"/>
    </xf>
    <xf numFmtId="0" fontId="27" fillId="6" borderId="0" xfId="2" applyFont="1" applyFill="1" applyAlignment="1">
      <alignment horizontal="right" vertical="center"/>
    </xf>
    <xf numFmtId="16" fontId="2" fillId="17" borderId="0" xfId="2" applyNumberFormat="1" applyFont="1" applyFill="1" applyAlignment="1">
      <alignment horizontal="centerContinuous" vertical="center"/>
    </xf>
    <xf numFmtId="165" fontId="2" fillId="17" borderId="0" xfId="2" applyNumberFormat="1" applyFont="1" applyFill="1" applyAlignment="1">
      <alignment horizontal="centerContinuous" vertical="center"/>
    </xf>
    <xf numFmtId="0" fontId="2" fillId="17" borderId="0" xfId="2" applyFont="1" applyFill="1" applyAlignment="1">
      <alignment horizontal="centerContinuous" vertical="center"/>
    </xf>
    <xf numFmtId="0" fontId="9" fillId="17" borderId="0" xfId="2" applyFont="1" applyFill="1" applyAlignment="1">
      <alignment horizontal="center" vertical="center"/>
    </xf>
    <xf numFmtId="0" fontId="2" fillId="17" borderId="0" xfId="2" applyFont="1" applyFill="1" applyAlignment="1">
      <alignment vertical="center"/>
    </xf>
    <xf numFmtId="0" fontId="2" fillId="17" borderId="0" xfId="2" applyFont="1" applyFill="1" applyAlignment="1">
      <alignment horizontal="center" vertical="center"/>
    </xf>
    <xf numFmtId="0" fontId="28" fillId="5" borderId="0" xfId="2" applyFont="1" applyFill="1" applyAlignment="1">
      <alignment vertical="center"/>
    </xf>
    <xf numFmtId="0" fontId="28" fillId="5" borderId="0" xfId="2" applyFont="1" applyFill="1" applyAlignment="1">
      <alignment horizontal="right" vertical="center"/>
    </xf>
    <xf numFmtId="1" fontId="28" fillId="6" borderId="0" xfId="2" applyNumberFormat="1" applyFont="1" applyFill="1" applyAlignment="1">
      <alignment horizontal="center" vertical="center"/>
    </xf>
    <xf numFmtId="0" fontId="28" fillId="6" borderId="0" xfId="2" applyFont="1" applyFill="1" applyAlignment="1">
      <alignment vertical="center"/>
    </xf>
    <xf numFmtId="0" fontId="28" fillId="6" borderId="0" xfId="2" applyFont="1" applyFill="1" applyAlignment="1">
      <alignment horizontal="center" vertical="center"/>
    </xf>
    <xf numFmtId="0" fontId="28" fillId="6" borderId="0" xfId="2" applyFont="1" applyFill="1" applyAlignment="1">
      <alignment horizontal="right" vertical="center"/>
    </xf>
    <xf numFmtId="0" fontId="9" fillId="0" borderId="0" xfId="2" applyFont="1" applyAlignment="1">
      <alignment horizontal="right" vertical="center"/>
    </xf>
    <xf numFmtId="0" fontId="3" fillId="0" borderId="26" xfId="0" applyFont="1" applyBorder="1"/>
    <xf numFmtId="0" fontId="0" fillId="0" borderId="27" xfId="0" applyBorder="1" applyProtection="1">
      <protection locked="0"/>
    </xf>
    <xf numFmtId="0" fontId="0" fillId="0" borderId="28" xfId="0" applyBorder="1" applyProtection="1">
      <protection locked="0"/>
    </xf>
    <xf numFmtId="0" fontId="36" fillId="21" borderId="0" xfId="0" applyFont="1" applyFill="1" applyAlignment="1" applyProtection="1">
      <alignment vertical="center"/>
      <protection locked="0"/>
    </xf>
    <xf numFmtId="0" fontId="37" fillId="8" borderId="0" xfId="0" applyFont="1" applyFill="1" applyAlignment="1" applyProtection="1">
      <alignment horizontal="left" vertical="center"/>
      <protection locked="0"/>
    </xf>
    <xf numFmtId="169" fontId="10" fillId="0" borderId="0" xfId="0" applyNumberFormat="1" applyFont="1" applyAlignment="1">
      <alignment horizontal="centerContinuous"/>
    </xf>
  </cellXfs>
  <cellStyles count="4">
    <cellStyle name="Hyperlink" xfId="3" builtinId="8"/>
    <cellStyle name="Mapping" xfId="1" xr:uid="{ED6E4035-6881-412B-ACB1-5553CFF43DB9}"/>
    <cellStyle name="Normal" xfId="0" builtinId="0"/>
    <cellStyle name="Normal 2" xfId="2" xr:uid="{46C95D9E-3FD3-4BF9-A664-13C2D67923F8}"/>
  </cellStyles>
  <dxfs count="108">
    <dxf>
      <font>
        <b/>
        <i val="0"/>
        <color rgb="FF009A46"/>
      </font>
      <fill>
        <patternFill>
          <bgColor rgb="FFCCFFCC"/>
        </patternFill>
      </fill>
    </dxf>
    <dxf>
      <font>
        <b/>
        <i val="0"/>
        <color rgb="FFC00000"/>
      </font>
      <fill>
        <patternFill>
          <bgColor rgb="FFF5969B"/>
        </patternFill>
      </fill>
    </dxf>
    <dxf>
      <font>
        <b/>
        <i val="0"/>
        <color rgb="FF009A46"/>
      </font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9A46"/>
      </font>
      <fill>
        <patternFill>
          <bgColor rgb="FFCCFFCC"/>
        </patternFill>
      </fill>
    </dxf>
    <dxf>
      <font>
        <b/>
        <i val="0"/>
        <color rgb="FFC00000"/>
      </font>
      <fill>
        <patternFill>
          <bgColor rgb="FFF5969B"/>
        </patternFill>
      </fill>
    </dxf>
    <dxf>
      <font>
        <b/>
        <i val="0"/>
        <color rgb="FF009A46"/>
      </font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009A46"/>
      </font>
      <fill>
        <patternFill>
          <bgColor rgb="FFCCFFCC"/>
        </patternFill>
      </fill>
    </dxf>
    <dxf>
      <font>
        <b/>
        <i val="0"/>
        <color rgb="FFC00000"/>
      </font>
      <fill>
        <patternFill>
          <bgColor rgb="FFF5969B"/>
        </patternFill>
      </fill>
    </dxf>
    <dxf>
      <font>
        <b/>
        <i val="0"/>
        <color rgb="FF009A46"/>
      </font>
      <fill>
        <patternFill>
          <bgColor rgb="FFCCFFCC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006100"/>
      </font>
      <fill>
        <patternFill>
          <fgColor indexed="64"/>
          <bgColor rgb="FFCCFFCC"/>
        </patternFill>
      </fill>
    </dxf>
    <dxf>
      <font>
        <color rgb="FF006100"/>
      </font>
      <fill>
        <patternFill>
          <fgColor indexed="64"/>
          <bgColor rgb="FFCCFFCC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006100"/>
      </font>
      <fill>
        <patternFill>
          <fgColor indexed="64"/>
          <bgColor rgb="FFCCFFCC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006100"/>
      </font>
      <fill>
        <patternFill>
          <fgColor indexed="64"/>
          <bgColor rgb="FFCCFFCC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006100"/>
      </font>
      <fill>
        <patternFill>
          <fgColor indexed="64"/>
          <bgColor rgb="FFCCFFCC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006100"/>
      </font>
      <fill>
        <patternFill>
          <fgColor indexed="64"/>
          <bgColor rgb="FFCCFFCC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006100"/>
      </font>
      <fill>
        <patternFill>
          <fgColor indexed="64"/>
          <bgColor rgb="FFCCFFCC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006100"/>
      </font>
      <fill>
        <patternFill>
          <fgColor indexed="64"/>
          <bgColor rgb="FFCCFFCC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006100"/>
      </font>
      <fill>
        <patternFill>
          <fgColor indexed="64"/>
          <bgColor rgb="FFCCFFCC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006100"/>
      </font>
      <fill>
        <patternFill>
          <fgColor indexed="64"/>
          <bgColor rgb="FFCCFFCC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006100"/>
      </font>
      <fill>
        <patternFill>
          <fgColor indexed="64"/>
          <bgColor rgb="FFCCFFCC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9C0006"/>
      </font>
      <fill>
        <patternFill>
          <fgColor indexed="64"/>
          <bgColor rgb="FFF5969B"/>
        </patternFill>
      </fill>
    </dxf>
    <dxf>
      <font>
        <color rgb="FF006100"/>
      </font>
      <fill>
        <patternFill>
          <fgColor indexed="64"/>
          <bgColor rgb="FFCCFFCC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ont>
        <color theme="0" tint="-0.499984740745262"/>
      </font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theme="2"/>
      </font>
    </dxf>
    <dxf>
      <font>
        <b/>
        <i val="0"/>
        <color rgb="FF009A46"/>
      </font>
      <fill>
        <patternFill>
          <bgColor rgb="FFCCFFCC"/>
        </patternFill>
      </fill>
    </dxf>
    <dxf>
      <font>
        <b/>
        <i val="0"/>
        <color rgb="FF009A46"/>
      </font>
      <fill>
        <patternFill>
          <bgColor rgb="FFCCFFCC"/>
        </patternFill>
      </fill>
    </dxf>
    <dxf>
      <font>
        <b/>
        <i val="0"/>
        <color rgb="FFC00000"/>
      </font>
      <fill>
        <patternFill>
          <bgColor rgb="FFF5969B"/>
        </patternFill>
      </fill>
    </dxf>
    <dxf>
      <font>
        <b/>
        <i val="0"/>
        <color rgb="FF009A46"/>
      </font>
      <fill>
        <patternFill>
          <bgColor rgb="FFCCFFCC"/>
        </patternFill>
      </fill>
    </dxf>
    <dxf>
      <font>
        <b/>
        <i val="0"/>
        <color rgb="FFC00000"/>
      </font>
      <fill>
        <patternFill>
          <bgColor rgb="FFF5969B"/>
        </patternFill>
      </fill>
    </dxf>
    <dxf>
      <font>
        <b/>
        <i val="0"/>
        <color rgb="FF009A46"/>
      </font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77666</xdr:colOff>
      <xdr:row>2</xdr:row>
      <xdr:rowOff>154012</xdr:rowOff>
    </xdr:from>
    <xdr:to>
      <xdr:col>13</xdr:col>
      <xdr:colOff>532849</xdr:colOff>
      <xdr:row>25</xdr:row>
      <xdr:rowOff>74001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826EB95-6B6F-2CF8-3B29-B6685F428F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l="46351" b="-58"/>
        <a:stretch>
          <a:fillRect/>
        </a:stretch>
      </xdr:blipFill>
      <xdr:spPr>
        <a:xfrm>
          <a:off x="4772130" y="521405"/>
          <a:ext cx="2918076" cy="3144882"/>
        </a:xfrm>
        <a:prstGeom prst="rect">
          <a:avLst/>
        </a:prstGeom>
      </xdr:spPr>
    </xdr:pic>
    <xdr:clientData/>
  </xdr:twoCellAnchor>
  <xdr:twoCellAnchor editAs="oneCell">
    <xdr:from>
      <xdr:col>13</xdr:col>
      <xdr:colOff>356089</xdr:colOff>
      <xdr:row>0</xdr:row>
      <xdr:rowOff>184639</xdr:rowOff>
    </xdr:from>
    <xdr:to>
      <xdr:col>20</xdr:col>
      <xdr:colOff>1077058</xdr:colOff>
      <xdr:row>25</xdr:row>
      <xdr:rowOff>108439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99FD7C-0457-28FE-81C1-EAE664254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3443" y="184639"/>
          <a:ext cx="4542692" cy="3487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192E4E"/>
      </a:dk1>
      <a:lt1>
        <a:srgbClr val="FFFFFF"/>
      </a:lt1>
      <a:dk2>
        <a:srgbClr val="192E4E"/>
      </a:dk2>
      <a:lt2>
        <a:srgbClr val="3E8CFF"/>
      </a:lt2>
      <a:accent1>
        <a:srgbClr val="A0C8F3"/>
      </a:accent1>
      <a:accent2>
        <a:srgbClr val="7BBECF"/>
      </a:accent2>
      <a:accent3>
        <a:srgbClr val="E8EBF1"/>
      </a:accent3>
      <a:accent4>
        <a:srgbClr val="57536C"/>
      </a:accent4>
      <a:accent5>
        <a:srgbClr val="78001B"/>
      </a:accent5>
      <a:accent6>
        <a:srgbClr val="00A86B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36AB-37A4-4D01-8112-1E8A35F6DD18}">
  <sheetPr>
    <tabColor theme="8"/>
  </sheetPr>
  <dimension ref="A1:N43"/>
  <sheetViews>
    <sheetView showGridLines="0" zoomScale="80" zoomScaleNormal="80" workbookViewId="0"/>
  </sheetViews>
  <sheetFormatPr defaultColWidth="9.77734375" defaultRowHeight="14.25" x14ac:dyDescent="0.2"/>
  <cols>
    <col min="1" max="1" width="0.88671875" style="2" customWidth="1"/>
    <col min="2" max="2" width="18.33203125" style="2" customWidth="1"/>
    <col min="3" max="3" width="10.44140625" style="2" customWidth="1"/>
    <col min="4" max="6" width="9.77734375" style="2" customWidth="1"/>
    <col min="7" max="7" width="9.77734375" style="2"/>
    <col min="8" max="9" width="9.77734375" style="2" customWidth="1"/>
    <col min="10" max="16384" width="9.77734375" style="2"/>
  </cols>
  <sheetData>
    <row r="1" spans="1:14" ht="15" x14ac:dyDescent="0.25">
      <c r="A1" s="1" t="s">
        <v>189</v>
      </c>
    </row>
    <row r="2" spans="1:14" x14ac:dyDescent="0.2">
      <c r="A2" s="2" t="str">
        <f ca="1">MID(CELL("filename",A1),FIND("]",CELL("filename",A1))+1,50)</f>
        <v>Rules</v>
      </c>
    </row>
    <row r="10" spans="1:14" ht="15" x14ac:dyDescent="0.25">
      <c r="B10" s="45" t="s">
        <v>210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x14ac:dyDescent="0.2">
      <c r="B11"/>
      <c r="C11"/>
      <c r="D11"/>
      <c r="E11"/>
      <c r="F11"/>
      <c r="G11"/>
      <c r="H11"/>
    </row>
    <row r="12" spans="1:14" x14ac:dyDescent="0.2">
      <c r="B12" t="s">
        <v>211</v>
      </c>
      <c r="C12"/>
      <c r="D12"/>
      <c r="E12"/>
      <c r="G12"/>
      <c r="H12"/>
      <c r="I12"/>
      <c r="J12"/>
      <c r="K12"/>
      <c r="L12"/>
    </row>
    <row r="13" spans="1:14" x14ac:dyDescent="0.2">
      <c r="B13" s="256" t="str">
        <f ca="1">'Player Template'!A2</f>
        <v>Player Template</v>
      </c>
      <c r="C13"/>
      <c r="D13"/>
      <c r="E13"/>
      <c r="F13"/>
      <c r="G13"/>
      <c r="H13"/>
      <c r="I13"/>
      <c r="J13"/>
      <c r="K13"/>
      <c r="L13"/>
    </row>
    <row r="14" spans="1:14" x14ac:dyDescent="0.2">
      <c r="B14"/>
      <c r="C14"/>
      <c r="D14"/>
      <c r="E14"/>
      <c r="F14"/>
      <c r="G14"/>
      <c r="H14"/>
      <c r="I14"/>
      <c r="J14"/>
      <c r="K14"/>
      <c r="L14"/>
    </row>
    <row r="15" spans="1:14" x14ac:dyDescent="0.2">
      <c r="B15" t="s">
        <v>238</v>
      </c>
      <c r="C15"/>
      <c r="D15"/>
      <c r="E15"/>
      <c r="F15"/>
      <c r="G15"/>
      <c r="H15"/>
      <c r="I15"/>
      <c r="J15"/>
      <c r="K15"/>
      <c r="L15"/>
    </row>
    <row r="16" spans="1:14" x14ac:dyDescent="0.2">
      <c r="B16"/>
      <c r="C16"/>
      <c r="D16"/>
      <c r="E16"/>
      <c r="F16"/>
      <c r="G16"/>
      <c r="H16"/>
      <c r="I16"/>
      <c r="J16"/>
      <c r="K16"/>
      <c r="L16"/>
    </row>
    <row r="17" spans="2:12" x14ac:dyDescent="0.2">
      <c r="B17" t="s">
        <v>237</v>
      </c>
      <c r="C17"/>
      <c r="D17"/>
      <c r="E17"/>
      <c r="F17"/>
      <c r="G17"/>
      <c r="H17"/>
      <c r="I17"/>
      <c r="J17"/>
      <c r="K17"/>
      <c r="L17"/>
    </row>
    <row r="18" spans="2:12" x14ac:dyDescent="0.2">
      <c r="B18"/>
      <c r="C18" s="47" t="s">
        <v>212</v>
      </c>
      <c r="D18"/>
      <c r="E18"/>
      <c r="F18"/>
      <c r="G18"/>
      <c r="H18"/>
      <c r="I18"/>
      <c r="J18"/>
      <c r="K18"/>
      <c r="L18"/>
    </row>
    <row r="19" spans="2:12" x14ac:dyDescent="0.2">
      <c r="B19"/>
      <c r="C19" s="43">
        <v>6</v>
      </c>
      <c r="D19" t="s">
        <v>217</v>
      </c>
      <c r="E19"/>
      <c r="F19"/>
      <c r="G19"/>
      <c r="H19"/>
      <c r="I19"/>
      <c r="J19"/>
      <c r="K19"/>
      <c r="L19"/>
    </row>
    <row r="20" spans="2:12" ht="3" customHeight="1" x14ac:dyDescent="0.2">
      <c r="B20"/>
      <c r="C20" s="47"/>
      <c r="D20"/>
      <c r="E20"/>
      <c r="F20"/>
      <c r="G20"/>
      <c r="H20"/>
      <c r="I20"/>
      <c r="J20"/>
      <c r="K20"/>
      <c r="L20"/>
    </row>
    <row r="21" spans="2:12" x14ac:dyDescent="0.2">
      <c r="B21"/>
      <c r="C21" s="43">
        <v>2</v>
      </c>
      <c r="D21" t="s">
        <v>213</v>
      </c>
      <c r="E21"/>
      <c r="F21"/>
      <c r="G21"/>
      <c r="H21"/>
      <c r="I21"/>
      <c r="J21"/>
      <c r="K21"/>
      <c r="L21"/>
    </row>
    <row r="22" spans="2:12" ht="3" customHeight="1" x14ac:dyDescent="0.2">
      <c r="B22"/>
      <c r="C22" s="47"/>
      <c r="D22"/>
      <c r="E22"/>
      <c r="F22"/>
      <c r="G22"/>
      <c r="H22"/>
      <c r="I22"/>
      <c r="J22"/>
      <c r="K22"/>
      <c r="L22"/>
    </row>
    <row r="23" spans="2:12" x14ac:dyDescent="0.2">
      <c r="B23"/>
      <c r="C23" s="44">
        <v>3</v>
      </c>
      <c r="D23" t="s">
        <v>214</v>
      </c>
      <c r="E23"/>
      <c r="F23"/>
      <c r="G23"/>
      <c r="H23"/>
      <c r="I23"/>
      <c r="J23"/>
      <c r="K23"/>
      <c r="L23"/>
    </row>
    <row r="24" spans="2:12" ht="3" customHeight="1" x14ac:dyDescent="0.2">
      <c r="B24"/>
      <c r="C24"/>
      <c r="D24"/>
      <c r="E24"/>
      <c r="F24"/>
      <c r="G24"/>
      <c r="H24"/>
      <c r="I24"/>
      <c r="J24"/>
      <c r="K24"/>
      <c r="L24"/>
    </row>
    <row r="25" spans="2:12" x14ac:dyDescent="0.2">
      <c r="B25" t="str">
        <f>"Everyone can thus win "&amp;SUM($C$19:$C$23)&amp;" points per game."</f>
        <v>Everyone can thus win 11 points per game.</v>
      </c>
      <c r="C25"/>
      <c r="D25"/>
      <c r="E25"/>
      <c r="F25"/>
      <c r="G25"/>
      <c r="H25"/>
      <c r="I25"/>
      <c r="J25"/>
      <c r="K25"/>
      <c r="L25"/>
    </row>
    <row r="26" spans="2:12" x14ac:dyDescent="0.2">
      <c r="B26"/>
      <c r="C26"/>
      <c r="D26"/>
      <c r="E26"/>
      <c r="F26"/>
      <c r="G26"/>
      <c r="H26"/>
      <c r="I26"/>
      <c r="J26"/>
      <c r="K26"/>
      <c r="L26"/>
    </row>
    <row r="27" spans="2:12" x14ac:dyDescent="0.2">
      <c r="B27" t="s">
        <v>236</v>
      </c>
      <c r="C27"/>
      <c r="D27"/>
      <c r="E27"/>
      <c r="F27"/>
      <c r="G27"/>
      <c r="H27"/>
      <c r="I27"/>
      <c r="J27"/>
      <c r="K27"/>
      <c r="L27"/>
    </row>
    <row r="28" spans="2:12" x14ac:dyDescent="0.2">
      <c r="B28"/>
      <c r="C28"/>
      <c r="D28"/>
      <c r="E28"/>
      <c r="F28"/>
      <c r="G28"/>
      <c r="H28"/>
      <c r="I28"/>
      <c r="J28"/>
      <c r="K28"/>
      <c r="L28"/>
    </row>
    <row r="29" spans="2:12" x14ac:dyDescent="0.2">
      <c r="B29"/>
      <c r="C29" s="43">
        <v>30</v>
      </c>
      <c r="D29" t="s">
        <v>215</v>
      </c>
      <c r="E29"/>
      <c r="F29"/>
      <c r="G29"/>
      <c r="H29"/>
      <c r="I29"/>
      <c r="J29"/>
      <c r="K29"/>
      <c r="L29"/>
    </row>
    <row r="30" spans="2:12" ht="3" customHeight="1" x14ac:dyDescent="0.2">
      <c r="B30"/>
      <c r="C30"/>
      <c r="D30"/>
      <c r="E30"/>
      <c r="F30"/>
      <c r="G30"/>
      <c r="H30"/>
      <c r="I30"/>
      <c r="J30"/>
      <c r="K30"/>
      <c r="L30"/>
    </row>
    <row r="31" spans="2:12" x14ac:dyDescent="0.2">
      <c r="B31"/>
      <c r="C31" s="44">
        <v>60</v>
      </c>
      <c r="D31" t="s">
        <v>216</v>
      </c>
      <c r="E31"/>
      <c r="F31"/>
      <c r="G31"/>
      <c r="H31"/>
      <c r="I31"/>
      <c r="J31"/>
      <c r="K31"/>
      <c r="L31"/>
    </row>
    <row r="34" spans="2:4" x14ac:dyDescent="0.2">
      <c r="B34" s="2" t="s">
        <v>231</v>
      </c>
    </row>
    <row r="35" spans="2:4" x14ac:dyDescent="0.2">
      <c r="B35" s="257" t="str">
        <f ca="1">'Last 8 teams predictions'!A2</f>
        <v>Last 8 teams predictions</v>
      </c>
    </row>
    <row r="37" spans="2:4" x14ac:dyDescent="0.2">
      <c r="C37" s="43">
        <v>20</v>
      </c>
      <c r="D37" s="2" t="s">
        <v>232</v>
      </c>
    </row>
    <row r="38" spans="2:4" ht="3" customHeight="1" x14ac:dyDescent="0.2">
      <c r="C38" s="47"/>
    </row>
    <row r="39" spans="2:4" x14ac:dyDescent="0.2">
      <c r="C39" s="43">
        <v>40</v>
      </c>
      <c r="D39" s="2" t="s">
        <v>234</v>
      </c>
    </row>
    <row r="40" spans="2:4" ht="3" customHeight="1" x14ac:dyDescent="0.2">
      <c r="C40" s="47"/>
    </row>
    <row r="41" spans="2:4" x14ac:dyDescent="0.2">
      <c r="C41" s="44">
        <v>60</v>
      </c>
      <c r="D41" s="2" t="s">
        <v>233</v>
      </c>
    </row>
    <row r="42" spans="2:4" ht="3" customHeight="1" x14ac:dyDescent="0.2"/>
    <row r="43" spans="2:4" x14ac:dyDescent="0.2">
      <c r="C43" s="44">
        <v>100</v>
      </c>
      <c r="D43" s="2" t="s">
        <v>235</v>
      </c>
    </row>
  </sheetData>
  <sheetProtection algorithmName="SHA-512" hashValue="G0wq7Wa8AGR5/FmknrtoXDgvIS7FuLbYCEILYnZ2Y4uSYcR97P0C2UU/PjArVg9AfQN1JwvBaOYkBuV+NNAH/Q==" saltValue="KBEKwWIh1xej3b9RKusjig==" spinCount="100000" sheet="1" objects="1" scenarios="1"/>
  <pageMargins left="0.7" right="0.7" top="0.75" bottom="0.75" header="0.3" footer="0.3"/>
  <headerFooter>
    <oddHeader>&amp;R&amp;"Aptos"&amp;11&amp;KFF0000 Distribution :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53BF-B4DE-4DE7-BF4C-EFE3597B8C73}">
  <sheetPr>
    <tabColor theme="2"/>
  </sheetPr>
  <dimension ref="A1:CQ135"/>
  <sheetViews>
    <sheetView showGridLines="0" zoomScale="55" zoomScaleNormal="55" workbookViewId="0">
      <pane ySplit="25" topLeftCell="A26" activePane="bottomLeft" state="frozen"/>
      <selection pane="bottomLeft" activeCell="A26" sqref="A26"/>
    </sheetView>
  </sheetViews>
  <sheetFormatPr defaultColWidth="8.88671875" defaultRowHeight="14.25" outlineLevelRow="1" outlineLevelCol="1" x14ac:dyDescent="0.2"/>
  <cols>
    <col min="1" max="1" width="0.88671875" style="49" customWidth="1"/>
    <col min="2" max="2" width="11.88671875" style="49" bestFit="1" customWidth="1"/>
    <col min="3" max="3" width="4.21875" style="49" hidden="1" customWidth="1" outlineLevel="1"/>
    <col min="4" max="5" width="5.6640625" style="49" hidden="1" customWidth="1" outlineLevel="1"/>
    <col min="6" max="6" width="10.77734375" style="50" hidden="1" customWidth="1" outlineLevel="1"/>
    <col min="7" max="7" width="13.44140625" style="49" customWidth="1" collapsed="1"/>
    <col min="8" max="8" width="7.77734375" style="49" customWidth="1"/>
    <col min="9" max="9" width="1.77734375" style="49" customWidth="1"/>
    <col min="10" max="10" width="5.77734375" style="49" customWidth="1"/>
    <col min="11" max="11" width="7.77734375" style="49" customWidth="1"/>
    <col min="12" max="12" width="1.77734375" style="49" customWidth="1"/>
    <col min="13" max="13" width="13.44140625" style="49" customWidth="1"/>
    <col min="14" max="14" width="7.77734375" style="49" customWidth="1"/>
    <col min="15" max="15" width="0.88671875" style="49" customWidth="1"/>
    <col min="16" max="16" width="6.88671875" style="49" bestFit="1" customWidth="1"/>
    <col min="17" max="17" width="9.77734375" style="51" customWidth="1"/>
    <col min="18" max="18" width="15" style="51" bestFit="1" customWidth="1"/>
    <col min="19" max="19" width="4.77734375" style="52" customWidth="1"/>
    <col min="20" max="20" width="4.77734375" style="49" customWidth="1"/>
    <col min="21" max="21" width="15" style="49" bestFit="1" customWidth="1"/>
    <col min="22" max="22" width="11.88671875" style="49" customWidth="1"/>
    <col min="23" max="23" width="3.109375" style="49" bestFit="1" customWidth="1"/>
    <col min="24" max="24" width="24.21875" style="49" customWidth="1"/>
    <col min="25" max="28" width="5.6640625" style="49" customWidth="1"/>
    <col min="29" max="29" width="7.44140625" style="49" customWidth="1"/>
    <col min="30" max="30" width="9.77734375" style="49" customWidth="1"/>
    <col min="31" max="31" width="9.77734375" style="50" hidden="1" customWidth="1" outlineLevel="1"/>
    <col min="32" max="32" width="9.77734375" style="49" hidden="1" customWidth="1" outlineLevel="1"/>
    <col min="33" max="34" width="9.77734375" style="51" hidden="1" customWidth="1" outlineLevel="1"/>
    <col min="35" max="35" width="9.77734375" style="52" hidden="1" customWidth="1" outlineLevel="1"/>
    <col min="36" max="36" width="0.88671875" style="49" hidden="1" customWidth="1" outlineLevel="1"/>
    <col min="37" max="37" width="9.77734375" style="51" hidden="1" customWidth="1" outlineLevel="1"/>
    <col min="38" max="38" width="9.77734375" style="52" hidden="1" customWidth="1" outlineLevel="1"/>
    <col min="39" max="39" width="0.88671875" style="49" hidden="1" customWidth="1" outlineLevel="1"/>
    <col min="40" max="43" width="9.77734375" style="49" hidden="1" customWidth="1" outlineLevel="1"/>
    <col min="44" max="44" width="0.88671875" style="49" hidden="1" customWidth="1" outlineLevel="1"/>
    <col min="45" max="45" width="9.77734375" style="49" hidden="1" customWidth="1" outlineLevel="1"/>
    <col min="46" max="46" width="9.77734375" style="49" customWidth="1" collapsed="1"/>
    <col min="47" max="51" width="9.77734375" style="49" customWidth="1"/>
    <col min="52" max="52" width="5.6640625" style="49" hidden="1" customWidth="1" outlineLevel="1"/>
    <col min="53" max="54" width="3.44140625" style="49" hidden="1" customWidth="1" outlineLevel="1"/>
    <col min="55" max="55" width="4.44140625" style="49" hidden="1" customWidth="1" outlineLevel="1"/>
    <col min="56" max="56" width="5.77734375" style="49" hidden="1" customWidth="1" outlineLevel="1"/>
    <col min="57" max="57" width="10.88671875" style="49" hidden="1" customWidth="1" outlineLevel="1"/>
    <col min="58" max="58" width="4.21875" style="49" hidden="1" customWidth="1" outlineLevel="1"/>
    <col min="59" max="59" width="3.88671875" style="49" hidden="1" customWidth="1" outlineLevel="1"/>
    <col min="60" max="61" width="4.109375" style="49" hidden="1" customWidth="1" outlineLevel="1"/>
    <col min="62" max="62" width="4.5546875" style="49" hidden="1" customWidth="1" outlineLevel="1"/>
    <col min="63" max="65" width="4.88671875" style="49" hidden="1" customWidth="1" outlineLevel="1"/>
    <col min="66" max="69" width="6.109375" style="49" hidden="1" customWidth="1" outlineLevel="1"/>
    <col min="70" max="73" width="6" style="49" hidden="1" customWidth="1" outlineLevel="1"/>
    <col min="74" max="74" width="4.44140625" style="49" hidden="1" customWidth="1" outlineLevel="1"/>
    <col min="75" max="77" width="4.6640625" style="49" hidden="1" customWidth="1" outlineLevel="1"/>
    <col min="78" max="78" width="6.6640625" style="49" hidden="1" customWidth="1" outlineLevel="1"/>
    <col min="79" max="89" width="6.109375" style="49" hidden="1" customWidth="1" outlineLevel="1"/>
    <col min="90" max="90" width="5.33203125" style="49" hidden="1" customWidth="1" outlineLevel="1"/>
    <col min="91" max="93" width="5.6640625" style="49" hidden="1" customWidth="1" outlineLevel="1"/>
    <col min="94" max="94" width="8.88671875" style="49" hidden="1" customWidth="1" outlineLevel="1"/>
    <col min="95" max="95" width="8.88671875" style="49" collapsed="1"/>
    <col min="96" max="16384" width="8.88671875" style="49"/>
  </cols>
  <sheetData>
    <row r="1" spans="1:77" s="2" customFormat="1" ht="15" x14ac:dyDescent="0.25">
      <c r="A1" s="1" t="s">
        <v>189</v>
      </c>
    </row>
    <row r="2" spans="1:77" s="2" customFormat="1" x14ac:dyDescent="0.2">
      <c r="A2" s="2" t="str">
        <f ca="1">MID(CELL("filename",A1),FIND("]",CELL("filename",A1))+1,50)</f>
        <v>Player Template</v>
      </c>
    </row>
    <row r="3" spans="1:77" s="2" customFormat="1" x14ac:dyDescent="0.2">
      <c r="B3" s="3" t="s">
        <v>0</v>
      </c>
      <c r="G3" s="3" t="s">
        <v>239</v>
      </c>
    </row>
    <row r="4" spans="1:77" s="2" customFormat="1" x14ac:dyDescent="0.2">
      <c r="B4" s="4" t="str">
        <f>IF(SUM(A27:A120)&gt;0,"Uncomplete","OK")</f>
        <v>Uncomplete</v>
      </c>
      <c r="G4" s="4" t="str">
        <f>IF(AND('Player Template'!$B$4="OK",'Last 8 teams predictions'!$F$4="OK"),"OK","Uncomplete")</f>
        <v>Uncomplete</v>
      </c>
    </row>
    <row r="5" spans="1:77" s="2" customFormat="1" ht="3" customHeight="1" x14ac:dyDescent="0.2"/>
    <row r="6" spans="1:77" s="6" customFormat="1" ht="14.25" hidden="1" customHeight="1" outlineLevel="1" x14ac:dyDescent="0.2">
      <c r="F6" s="6" t="s">
        <v>3</v>
      </c>
      <c r="G6" s="6" t="s">
        <v>4</v>
      </c>
      <c r="H6" s="6">
        <f>AVERAGE(H27:H123)</f>
        <v>2.8340898373187358</v>
      </c>
      <c r="K6" s="6">
        <f>AVERAGE(K27:K123)</f>
        <v>4.3045842807625787</v>
      </c>
      <c r="N6" s="6">
        <f>AVERAGE(N27:N123)</f>
        <v>3.3689677829229763</v>
      </c>
      <c r="AF6" s="6" t="s">
        <v>5</v>
      </c>
      <c r="AI6" s="6">
        <f>(_xlfn.MAXIFS('FIFA rankings'!$D$15:$D$62,'FIFA rankings'!$C$15:$C$62,TRUE)-_xlfn.MINIFS('FIFA rankings'!$D$15:$D$62,'FIFA rankings'!$C$15:$C$62,TRUE))*4</f>
        <v>2383</v>
      </c>
      <c r="BU6" s="48"/>
      <c r="BV6" s="48"/>
    </row>
    <row r="7" spans="1:77" s="6" customFormat="1" ht="14.25" hidden="1" customHeight="1" outlineLevel="1" x14ac:dyDescent="0.2">
      <c r="F7" s="6" t="s">
        <v>6</v>
      </c>
      <c r="G7" s="6" t="s">
        <v>7</v>
      </c>
      <c r="H7" s="6">
        <f>MAX(H27:H123)</f>
        <v>7.4829528316526686</v>
      </c>
      <c r="K7" s="6">
        <f>MAX(K27:K123)</f>
        <v>5.598083428187965</v>
      </c>
      <c r="N7" s="6">
        <f>MAX(N27:N123)</f>
        <v>8.0463535396522623</v>
      </c>
      <c r="AF7" s="6" t="s">
        <v>8</v>
      </c>
      <c r="AI7" s="6">
        <v>1.4</v>
      </c>
      <c r="BU7" s="48"/>
      <c r="BV7" s="48"/>
    </row>
    <row r="8" spans="1:77" s="6" customFormat="1" ht="14.25" hidden="1" customHeight="1" outlineLevel="1" x14ac:dyDescent="0.2">
      <c r="F8" s="6" t="s">
        <v>9</v>
      </c>
      <c r="G8" s="6" t="s">
        <v>10</v>
      </c>
      <c r="H8" s="6">
        <f>MIN(H27:H123)</f>
        <v>1.439786087155116</v>
      </c>
      <c r="K8" s="6">
        <f>MIN(K27:K123)</f>
        <v>3.9557544384285181</v>
      </c>
      <c r="N8" s="6">
        <f>MIN(N27:N123)</f>
        <v>1.4728544716691863</v>
      </c>
      <c r="BU8" s="48"/>
      <c r="BV8" s="48"/>
    </row>
    <row r="9" spans="1:77" s="6" customFormat="1" ht="14.25" hidden="1" customHeight="1" outlineLevel="1" x14ac:dyDescent="0.2">
      <c r="F9" s="6" t="s">
        <v>11</v>
      </c>
      <c r="H9" s="6" t="s">
        <v>12</v>
      </c>
      <c r="K9" s="6" t="s">
        <v>13</v>
      </c>
      <c r="N9" s="6" t="s">
        <v>14</v>
      </c>
      <c r="P9" s="6" t="s">
        <v>15</v>
      </c>
      <c r="Q9" s="6" t="s">
        <v>16</v>
      </c>
      <c r="R9" s="6" t="s">
        <v>17</v>
      </c>
      <c r="S9" s="6" t="s">
        <v>18</v>
      </c>
      <c r="T9" s="6" t="s">
        <v>19</v>
      </c>
      <c r="U9" s="6" t="s">
        <v>20</v>
      </c>
      <c r="BU9" s="48"/>
      <c r="BV9" s="48"/>
    </row>
    <row r="10" spans="1:77" ht="14.25" customHeight="1" collapsed="1" x14ac:dyDescent="0.2">
      <c r="F10" s="49"/>
      <c r="Q10" s="50"/>
      <c r="R10" s="49"/>
      <c r="S10" s="51"/>
      <c r="T10" s="51"/>
      <c r="U10" s="52"/>
      <c r="W10" s="53"/>
      <c r="BV10" s="51"/>
      <c r="BW10" s="51"/>
      <c r="BX10" s="51"/>
      <c r="BY10" s="51"/>
    </row>
    <row r="11" spans="1:77" ht="14.25" customHeight="1" x14ac:dyDescent="0.2">
      <c r="F11" s="49"/>
      <c r="Q11" s="50"/>
      <c r="R11" s="49"/>
      <c r="S11" s="51"/>
      <c r="T11" s="51"/>
      <c r="U11" s="52"/>
      <c r="BV11" s="51"/>
      <c r="BW11" s="51"/>
      <c r="BX11" s="51"/>
      <c r="BY11" s="51"/>
    </row>
    <row r="12" spans="1:77" ht="14.25" customHeight="1" x14ac:dyDescent="0.35">
      <c r="F12" s="49"/>
      <c r="G12" s="54" t="s">
        <v>190</v>
      </c>
      <c r="Q12" s="50"/>
      <c r="R12" s="49"/>
      <c r="S12" s="51"/>
      <c r="T12" s="51"/>
      <c r="U12" s="52"/>
      <c r="AN12" s="7"/>
      <c r="AO12" s="7"/>
      <c r="AP12" s="7"/>
      <c r="BV12" s="51"/>
      <c r="BW12" s="51"/>
      <c r="BX12" s="51"/>
      <c r="BY12" s="51"/>
    </row>
    <row r="13" spans="1:77" ht="14.25" customHeight="1" x14ac:dyDescent="0.35">
      <c r="F13" s="49"/>
      <c r="G13" s="55"/>
      <c r="Q13" s="50"/>
      <c r="R13" s="49"/>
      <c r="S13" s="51"/>
      <c r="T13" s="51"/>
      <c r="U13" s="52"/>
      <c r="AN13" s="7"/>
      <c r="AO13" s="7"/>
      <c r="AP13" s="7"/>
      <c r="BV13" s="51"/>
      <c r="BW13" s="51"/>
      <c r="BX13" s="51"/>
      <c r="BY13" s="51"/>
    </row>
    <row r="14" spans="1:77" ht="14.25" customHeight="1" x14ac:dyDescent="0.35">
      <c r="F14" s="49"/>
      <c r="Q14" s="50"/>
      <c r="R14" s="49"/>
      <c r="S14" s="51"/>
      <c r="T14" s="51"/>
      <c r="U14" s="52"/>
      <c r="AN14" s="7"/>
      <c r="AO14" s="7"/>
      <c r="AP14" s="7"/>
      <c r="BV14" s="51"/>
      <c r="BW14" s="51"/>
      <c r="BX14" s="51"/>
      <c r="BY14" s="51"/>
    </row>
    <row r="15" spans="1:77" ht="14.25" customHeight="1" x14ac:dyDescent="0.35">
      <c r="F15" s="49"/>
      <c r="G15" s="54" t="s">
        <v>191</v>
      </c>
      <c r="Q15" s="50"/>
      <c r="R15" s="49"/>
      <c r="S15" s="51"/>
      <c r="T15" s="51"/>
      <c r="U15" s="52"/>
      <c r="AN15" s="7"/>
      <c r="AO15" s="7"/>
      <c r="AP15" s="7"/>
      <c r="BV15" s="51"/>
      <c r="BW15" s="51"/>
      <c r="BX15" s="51"/>
      <c r="BY15" s="51"/>
    </row>
    <row r="16" spans="1:77" ht="14.25" customHeight="1" x14ac:dyDescent="0.35">
      <c r="F16" s="49"/>
      <c r="G16" s="55"/>
      <c r="Q16" s="50"/>
      <c r="R16" s="49"/>
      <c r="S16" s="51"/>
      <c r="T16" s="51"/>
      <c r="U16" s="52"/>
      <c r="AN16" s="7"/>
      <c r="AO16" s="7"/>
      <c r="AP16" s="7"/>
      <c r="BV16" s="51"/>
      <c r="BW16" s="51"/>
      <c r="BX16" s="51"/>
      <c r="BY16" s="51"/>
    </row>
    <row r="17" spans="1:93" ht="14.25" customHeight="1" x14ac:dyDescent="0.35">
      <c r="F17" s="49"/>
      <c r="Q17" s="50"/>
      <c r="R17" s="49"/>
      <c r="S17" s="51"/>
      <c r="T17" s="51"/>
      <c r="U17" s="52"/>
      <c r="AN17" s="7"/>
      <c r="AO17" s="7"/>
      <c r="AP17" s="7"/>
      <c r="BV17" s="51"/>
      <c r="BW17" s="51"/>
      <c r="BX17" s="51"/>
      <c r="BY17" s="51"/>
    </row>
    <row r="18" spans="1:93" ht="14.25" customHeight="1" x14ac:dyDescent="0.35">
      <c r="F18" s="49"/>
      <c r="G18" s="54" t="s">
        <v>192</v>
      </c>
      <c r="Q18" s="50"/>
      <c r="R18" s="49"/>
      <c r="S18" s="51"/>
      <c r="T18" s="51"/>
      <c r="U18" s="52"/>
      <c r="AN18" s="7"/>
      <c r="AO18" s="7"/>
      <c r="AP18" s="7"/>
      <c r="BV18" s="51"/>
      <c r="BW18" s="51"/>
      <c r="BX18" s="51"/>
      <c r="BY18" s="51"/>
    </row>
    <row r="19" spans="1:93" ht="14.25" customHeight="1" x14ac:dyDescent="0.35">
      <c r="F19" s="49"/>
      <c r="G19" s="55"/>
      <c r="Q19" s="50"/>
      <c r="R19" s="49"/>
      <c r="S19" s="51"/>
      <c r="T19" s="51"/>
      <c r="U19" s="52"/>
      <c r="AN19" s="7"/>
      <c r="AO19" s="7"/>
      <c r="AP19" s="7"/>
      <c r="BV19" s="51"/>
      <c r="BW19" s="51"/>
      <c r="BX19" s="51"/>
      <c r="BY19" s="51"/>
    </row>
    <row r="20" spans="1:93" ht="14.25" customHeight="1" x14ac:dyDescent="0.35">
      <c r="F20" s="49"/>
      <c r="Q20" s="50"/>
      <c r="R20" s="49"/>
      <c r="S20" s="51"/>
      <c r="T20" s="51"/>
      <c r="U20" s="52"/>
      <c r="AN20" s="7"/>
      <c r="AO20" s="7"/>
      <c r="AP20" s="7"/>
      <c r="BV20" s="51"/>
      <c r="BW20" s="51"/>
      <c r="BX20" s="51"/>
      <c r="BY20" s="51"/>
    </row>
    <row r="21" spans="1:93" ht="14.25" customHeight="1" x14ac:dyDescent="0.35">
      <c r="F21" s="49"/>
      <c r="G21" s="54" t="s">
        <v>193</v>
      </c>
      <c r="Q21" s="50"/>
      <c r="R21" s="49"/>
      <c r="S21" s="51"/>
      <c r="T21" s="51"/>
      <c r="U21" s="52"/>
      <c r="AN21" s="258"/>
      <c r="AO21" s="258"/>
      <c r="AP21" s="258"/>
      <c r="BV21" s="51"/>
      <c r="BW21" s="51"/>
      <c r="BX21" s="51"/>
      <c r="BY21" s="51"/>
    </row>
    <row r="22" spans="1:93" ht="14.25" customHeight="1" x14ac:dyDescent="0.35">
      <c r="F22" s="49"/>
      <c r="G22" s="55"/>
      <c r="Q22" s="50"/>
      <c r="R22" s="49"/>
      <c r="S22" s="51"/>
      <c r="T22" s="51"/>
      <c r="U22" s="52"/>
      <c r="AN22" s="7"/>
      <c r="AO22" s="7"/>
      <c r="AP22" s="7"/>
      <c r="BV22" s="51"/>
      <c r="BW22" s="51"/>
      <c r="BX22" s="51"/>
      <c r="BY22" s="51"/>
    </row>
    <row r="23" spans="1:93" ht="14.25" customHeight="1" x14ac:dyDescent="0.35">
      <c r="F23" s="49"/>
      <c r="Q23" s="50"/>
      <c r="R23" s="49"/>
      <c r="S23" s="51"/>
      <c r="T23" s="51"/>
      <c r="U23" s="52"/>
      <c r="AN23" s="7"/>
      <c r="AO23" s="7"/>
      <c r="AP23" s="7"/>
      <c r="BV23" s="51"/>
      <c r="BW23" s="51"/>
      <c r="BX23" s="51"/>
      <c r="BY23" s="51"/>
    </row>
    <row r="24" spans="1:93" ht="14.25" customHeight="1" x14ac:dyDescent="0.35">
      <c r="F24" s="49"/>
      <c r="Q24" s="50"/>
      <c r="R24" s="49"/>
      <c r="S24" s="51"/>
      <c r="T24" s="51"/>
      <c r="U24" s="52"/>
      <c r="AN24" s="7"/>
      <c r="AO24" s="7"/>
      <c r="AP24" s="7"/>
      <c r="BV24" s="51"/>
      <c r="BW24" s="51"/>
      <c r="BX24" s="51"/>
      <c r="BY24" s="51"/>
    </row>
    <row r="25" spans="1:93" ht="14.25" customHeight="1" x14ac:dyDescent="0.35">
      <c r="F25" s="49"/>
      <c r="Q25" s="50"/>
      <c r="R25" s="49"/>
      <c r="S25" s="51"/>
      <c r="T25" s="51"/>
      <c r="U25" s="52"/>
      <c r="AN25" s="7" t="s">
        <v>21</v>
      </c>
      <c r="AO25" s="7"/>
      <c r="AP25" s="7"/>
      <c r="BV25" s="51"/>
      <c r="BW25" s="51"/>
      <c r="BX25" s="51"/>
      <c r="BY25" s="51"/>
    </row>
    <row r="26" spans="1:93" ht="14.25" customHeight="1" x14ac:dyDescent="0.25">
      <c r="F26" s="49" t="s">
        <v>22</v>
      </c>
      <c r="G26" s="56" t="str">
        <f>$F26 &amp; " / Odds"</f>
        <v>Group A / Odds</v>
      </c>
      <c r="H26" s="56"/>
      <c r="I26" s="56"/>
      <c r="J26" s="56"/>
      <c r="K26" s="56"/>
      <c r="L26" s="56"/>
      <c r="M26" s="56"/>
      <c r="N26" s="56"/>
      <c r="O26" s="57"/>
      <c r="P26" s="58" t="str">
        <f>$F26 &amp; " / Results"</f>
        <v>Group A / Results</v>
      </c>
      <c r="Q26" s="58"/>
      <c r="R26" s="58"/>
      <c r="S26" s="58"/>
      <c r="T26" s="58"/>
      <c r="U26" s="58"/>
      <c r="V26" s="57"/>
      <c r="W26" s="59"/>
      <c r="X26" s="60" t="s">
        <v>23</v>
      </c>
      <c r="Y26" s="61" t="s">
        <v>24</v>
      </c>
      <c r="Z26" s="61" t="s">
        <v>25</v>
      </c>
      <c r="AA26" s="61" t="s">
        <v>26</v>
      </c>
      <c r="AB26" s="61" t="str">
        <f>"+/-"</f>
        <v>+/-</v>
      </c>
      <c r="AC26" s="57"/>
      <c r="AD26" s="57"/>
      <c r="AE26" s="8" t="s">
        <v>27</v>
      </c>
      <c r="AF26" s="9" t="s">
        <v>28</v>
      </c>
      <c r="AG26" s="10" t="s">
        <v>29</v>
      </c>
      <c r="AH26" s="10" t="s">
        <v>30</v>
      </c>
      <c r="AI26" s="10" t="s">
        <v>31</v>
      </c>
      <c r="AK26" s="10" t="s">
        <v>32</v>
      </c>
      <c r="AL26" s="10" t="s">
        <v>33</v>
      </c>
      <c r="AN26" s="10" t="s">
        <v>34</v>
      </c>
      <c r="AO26" s="10" t="s">
        <v>35</v>
      </c>
      <c r="AP26" s="10" t="s">
        <v>36</v>
      </c>
      <c r="AY26" s="62"/>
      <c r="BD26" s="63" t="s">
        <v>37</v>
      </c>
      <c r="BE26" s="64" t="s">
        <v>38</v>
      </c>
      <c r="BF26" s="65" t="s">
        <v>24</v>
      </c>
      <c r="BG26" s="66" t="s">
        <v>25</v>
      </c>
      <c r="BH26" s="65" t="s">
        <v>26</v>
      </c>
      <c r="BI26" s="67" t="s">
        <v>39</v>
      </c>
      <c r="BJ26" s="65" t="s">
        <v>40</v>
      </c>
      <c r="BK26" s="65" t="s">
        <v>41</v>
      </c>
      <c r="BL26" s="65" t="s">
        <v>42</v>
      </c>
      <c r="BM26" s="65" t="s">
        <v>43</v>
      </c>
      <c r="BN26" s="66" t="s">
        <v>44</v>
      </c>
      <c r="BO26" s="65" t="s">
        <v>45</v>
      </c>
      <c r="BP26" s="65" t="s">
        <v>46</v>
      </c>
      <c r="BQ26" s="67" t="s">
        <v>47</v>
      </c>
      <c r="BR26" s="66" t="s">
        <v>48</v>
      </c>
      <c r="BS26" s="65" t="s">
        <v>49</v>
      </c>
      <c r="BT26" s="65" t="s">
        <v>50</v>
      </c>
      <c r="BU26" s="67" t="s">
        <v>51</v>
      </c>
      <c r="BV26" s="66" t="s">
        <v>52</v>
      </c>
      <c r="BW26" s="65" t="s">
        <v>53</v>
      </c>
      <c r="BX26" s="65" t="s">
        <v>54</v>
      </c>
      <c r="BY26" s="67" t="s">
        <v>55</v>
      </c>
      <c r="BZ26" s="66" t="s">
        <v>56</v>
      </c>
      <c r="CA26" s="65" t="s">
        <v>48</v>
      </c>
      <c r="CB26" s="65" t="s">
        <v>49</v>
      </c>
      <c r="CC26" s="65" t="s">
        <v>50</v>
      </c>
      <c r="CD26" s="65" t="s">
        <v>51</v>
      </c>
      <c r="CE26" s="65" t="s">
        <v>57</v>
      </c>
      <c r="CF26" s="65" t="s">
        <v>58</v>
      </c>
      <c r="CG26" s="65" t="s">
        <v>59</v>
      </c>
      <c r="CH26" s="65" t="s">
        <v>60</v>
      </c>
      <c r="CI26" s="65" t="s">
        <v>61</v>
      </c>
      <c r="CJ26" s="65" t="s">
        <v>62</v>
      </c>
      <c r="CK26" s="65" t="s">
        <v>63</v>
      </c>
      <c r="CL26" s="66" t="s">
        <v>64</v>
      </c>
      <c r="CM26" s="65" t="s">
        <v>65</v>
      </c>
      <c r="CN26" s="65" t="s">
        <v>66</v>
      </c>
      <c r="CO26" s="67" t="s">
        <v>67</v>
      </c>
    </row>
    <row r="27" spans="1:93" ht="14.25" customHeight="1" x14ac:dyDescent="0.2">
      <c r="A27" s="49">
        <f>IF(OR(ISBLANK(S27),ISBLANK(T27)),1,0)</f>
        <v>1</v>
      </c>
      <c r="C27" s="49">
        <v>1</v>
      </c>
      <c r="D27" s="49" t="s">
        <v>68</v>
      </c>
      <c r="E27" s="49" t="s">
        <v>11</v>
      </c>
      <c r="F27" s="49" t="s">
        <v>22</v>
      </c>
      <c r="G27" s="11" t="str">
        <f>R27</f>
        <v>Mexico</v>
      </c>
      <c r="H27" s="11">
        <f>AN27</f>
        <v>1.8727860440874591</v>
      </c>
      <c r="I27" s="11"/>
      <c r="J27" s="11" t="s">
        <v>35</v>
      </c>
      <c r="K27" s="11">
        <f>AO27</f>
        <v>4.2977309459215478</v>
      </c>
      <c r="L27" s="11"/>
      <c r="M27" s="11" t="str">
        <f>U27</f>
        <v>South Africa</v>
      </c>
      <c r="N27" s="11">
        <f>AP27</f>
        <v>4.2954634182606926</v>
      </c>
      <c r="O27" s="57"/>
      <c r="P27" s="68">
        <v>46184</v>
      </c>
      <c r="Q27" s="69">
        <v>0.875</v>
      </c>
      <c r="R27" s="70" t="s">
        <v>69</v>
      </c>
      <c r="S27" s="12"/>
      <c r="T27" s="12"/>
      <c r="U27" s="71" t="s">
        <v>70</v>
      </c>
      <c r="V27" s="57"/>
      <c r="W27" s="72">
        <f>BA27</f>
        <v>1</v>
      </c>
      <c r="X27" s="73" t="str">
        <f>INDEX(BE27:BE30,MATCH(BC27,$BD27:$BD30,0))</f>
        <v>Mexico</v>
      </c>
      <c r="Y27" s="74">
        <f>INDEX(BF27:BF30,MATCH(BC27,$BD27:$BD30,0))</f>
        <v>0</v>
      </c>
      <c r="Z27" s="74">
        <f>INDEX(BG27:BG30,MATCH(BC27,$BD27:$BD30,0))</f>
        <v>0</v>
      </c>
      <c r="AA27" s="74">
        <f>INDEX(BH27:BH30,MATCH(BC27,$BD27:$BD30,0))</f>
        <v>0</v>
      </c>
      <c r="AB27" s="74">
        <f>INDEX(BI27:BI30,MATCH(BC27,$BD27:$BD30,0))</f>
        <v>0</v>
      </c>
      <c r="AC27" s="57"/>
      <c r="AD27" s="57"/>
      <c r="AE27" s="49" t="str">
        <f t="shared" ref="AE27:AE32" si="0">R27</f>
        <v>Mexico</v>
      </c>
      <c r="AF27" s="49" t="str">
        <f t="shared" ref="AF27:AF32" si="1">U27</f>
        <v>South Africa</v>
      </c>
      <c r="AG27" s="75">
        <f>_xlfn.XLOOKUP(AE27,'FIFA rankings'!$B:$B,'FIFA rankings'!$D:$D)</f>
        <v>1681.03</v>
      </c>
      <c r="AH27" s="75">
        <f>_xlfn.XLOOKUP(AF27,'FIFA rankings'!$B:$B,'FIFA rankings'!$D:$D)</f>
        <v>1429.73</v>
      </c>
      <c r="AI27" s="76">
        <f t="shared" ref="AI27:AI32" si="2">IFERROR(AG27-AH27,"n.a.")</f>
        <v>251.29999999999995</v>
      </c>
      <c r="AJ27" s="75"/>
      <c r="AK27" s="77">
        <f t="shared" ref="AK27:AK32" si="3">IFERROR($AI$7*POWER(10,$AI27/$AI$6),"n.a.")</f>
        <v>1.7847744662340885</v>
      </c>
      <c r="AL27" s="77">
        <f t="shared" ref="AL27:AL32" si="4">IFERROR($AI$7*POWER(10,-$AI27/$AI$6),"n.a.")</f>
        <v>1.0981779698673304</v>
      </c>
      <c r="AM27" s="75"/>
      <c r="AN27" s="78" cm="1">
        <f t="array" ref="AN27">1/SUMPRODUCT(_xlfn.POISSON.DIST(ROW($1:$8)-1,$AK27,FALSE)*_xlfn.POISSON.DIST(TRANSPOSE(ROW($1:$8)-1),$AL27,FALSE)*((ROW($1:$8)-1)&gt;(TRANSPOSE(ROW($1:$8)-1))))</f>
        <v>1.8727860440874591</v>
      </c>
      <c r="AO27" s="78" cm="1">
        <f t="array" ref="AO27">1/SUMPRODUCT(_xlfn.POISSON.DIST(ROW($1:$8)-1,$AK27,FALSE)*_xlfn.POISSON.DIST(TRANSPOSE(ROW($1:$8)-1),$AL27,FALSE)*((ROW($1:$8)-1)=(TRANSPOSE(ROW($1:$8)-1))))</f>
        <v>4.2977309459215478</v>
      </c>
      <c r="AP27" s="78" cm="1">
        <f t="array" ref="AP27">1/SUMPRODUCT(_xlfn.POISSON.DIST(ROW($1:$8)-1,$AK27,FALSE)*_xlfn.POISSON.DIST(TRANSPOSE(ROW($1:$8)-1),$AL27,FALSE)*((ROW($1:$8)-1)&lt;(TRANSPOSE(ROW($1:$8)-1))))</f>
        <v>4.2954634182606926</v>
      </c>
      <c r="AQ27" s="75"/>
      <c r="AR27" s="78"/>
      <c r="AS27" s="79">
        <f>1-SUM(1/AN27,1/AO27,1/AP27)</f>
        <v>5.515005869695111E-4</v>
      </c>
      <c r="AY27" s="62"/>
      <c r="BA27" s="80">
        <v>1</v>
      </c>
      <c r="BB27" s="80">
        <f>ROUND(BC27,0)</f>
        <v>2</v>
      </c>
      <c r="BC27" s="81">
        <f>MIN(BD27:BD30)</f>
        <v>2.4500000000000002</v>
      </c>
      <c r="BD27" s="82">
        <f>SUM(BV27:BY27)+2.45</f>
        <v>2.4500000000000002</v>
      </c>
      <c r="BE27" s="83" t="str">
        <f>R27</f>
        <v>Mexico</v>
      </c>
      <c r="BF27" s="51">
        <f>SUM(BJ27:BM27)</f>
        <v>0</v>
      </c>
      <c r="BG27" s="84">
        <f>S27+S29+T31</f>
        <v>0</v>
      </c>
      <c r="BH27" s="51">
        <f>T27+T29+S31</f>
        <v>0</v>
      </c>
      <c r="BI27" s="85">
        <f>BG27-BH27</f>
        <v>0</v>
      </c>
      <c r="BJ27" s="51" t="s">
        <v>71</v>
      </c>
      <c r="BK27" s="51">
        <f>IF(ISBLANK(S27),0,IF(S27&gt;T27,3,IF(S27=T27,1,0)))</f>
        <v>0</v>
      </c>
      <c r="BL27" s="51">
        <f>IF(ISBLANK(S29),0,IF(S29&gt;T29,3,IF(S29=T29,1,0)))</f>
        <v>0</v>
      </c>
      <c r="BM27" s="51">
        <f>IF(ISBLANK(T31),0,IF(T31&gt;S31,3,IF(T31=S31,1,0)))</f>
        <v>0</v>
      </c>
      <c r="BN27" s="84" t="s">
        <v>71</v>
      </c>
      <c r="BO27" s="51" t="b">
        <f>(10*(BI27-BI28)+BG27-BG28&gt;0)</f>
        <v>0</v>
      </c>
      <c r="BP27" s="51" t="b">
        <f>10*(BI27-BI29)+BG27-BG29&gt;0</f>
        <v>0</v>
      </c>
      <c r="BQ27" s="85" t="b">
        <f>10*(BI27-BI30)+BG27-BG30&gt;0</f>
        <v>0</v>
      </c>
      <c r="BR27" s="84">
        <f>10000*(BK27+BL27)+(S29-T29+S27-T27)*100+(S29+S27)</f>
        <v>0</v>
      </c>
      <c r="BS27" s="51">
        <f>10000*(BK27+BM27)+(S27-T27+T31-S31)*100+(S27+T31)</f>
        <v>0</v>
      </c>
      <c r="BT27" s="51">
        <f>10000*(BL27+BM27)+(T31-S31+S29-T29)*100+(T31+S29)</f>
        <v>0</v>
      </c>
      <c r="BU27" s="85" t="s">
        <v>71</v>
      </c>
      <c r="BV27" s="84" t="s">
        <v>71</v>
      </c>
      <c r="BW27" s="86">
        <f>IF($BF27&gt;$BF28,-0.5,IF($BF28&gt;$BF27,0.5,IF(BO27,-0.5,IF(BN28,0.5,CM27))))</f>
        <v>0</v>
      </c>
      <c r="BX27" s="86">
        <f>IF($BF27&gt;$BF29,-0.5,IF($BF29&gt;$BF27,0.5,IF(BP27,-0.5,IF(BN29,0.5,CN27))))</f>
        <v>0</v>
      </c>
      <c r="BY27" s="87">
        <f>IF($BF27&gt;$BF30,-0.5,IF($BF30&gt;$BF27,0.5,IF(BQ27,-0.5,IF(BN30,0.5,CO27))))</f>
        <v>0</v>
      </c>
      <c r="BZ27" s="88" t="b">
        <f>AND(AND(BF27=BF28,BF28=BF29,BF29=BF30),AND(BG27=BG28,BG28=BG29,BG29=BG30),AND(BH27=BH28,BH28=BH29,BH29=BH30))</f>
        <v>1</v>
      </c>
      <c r="CA27" s="88" t="b">
        <f>AND(NOT(BZ27),BF27=BF28,BF27=BF29,BG27=BG28,BG27=BG29,BH27=BH28,BH27=BH29)</f>
        <v>0</v>
      </c>
      <c r="CB27" s="88" t="b">
        <f>AND(NOT(BZ27),BF27=BF28,BF27=BF30,BG27=BG28,BG27=BG30,BH27=BH28,BH27=BH30)</f>
        <v>0</v>
      </c>
      <c r="CC27" s="88" t="b">
        <f>AND(NOT(BZ27),BF27=BF29,BF27=BF30,BG27=BG29,BG27=BG30,BH27=BH29,BH27=BH30)</f>
        <v>0</v>
      </c>
      <c r="CD27" s="88" t="b">
        <f>AND(NOT(BZ27),BF28=BF29,BF28=BF30,BG28=BG29,BG28=BG30,BH28=BH29,BH28=BH30)</f>
        <v>0</v>
      </c>
      <c r="CE27" s="88" t="b">
        <f>AND(NOT(BZ27),NOT(CA27),NOT(CB27),BF27=BF28,BG27=BG28,BH27=BH28)</f>
        <v>0</v>
      </c>
      <c r="CF27" s="88" t="b">
        <f>AND(NOT(BZ27),NOT(CA27),NOT(CC27),BF27=BF29,BG27=BG29,BH27=BH29)</f>
        <v>0</v>
      </c>
      <c r="CG27" s="88" t="b">
        <f>AND(NOT(BZ27),NOT(CB27),NOT(CC27),BF27=BF30,BG27=BG30,BH27=BH30)</f>
        <v>0</v>
      </c>
      <c r="CH27" s="88" t="b">
        <f>AND(NOT(BZ27),NOT(CA27),NOT(CD27),BF28=BF29,BG28=BG29)</f>
        <v>0</v>
      </c>
      <c r="CI27" s="88" t="b">
        <f>AND(NOT(BZ27),NOT(CB27),NOT(CD27),BF28=BF30,BG28=BG30,BH28=BH30)</f>
        <v>0</v>
      </c>
      <c r="CJ27" s="88" t="b">
        <f>AND(NOT(BZ27),NOT(CC27),NOT(CD27),BF29=BF30,BG29=BG30,BH29=BH30)</f>
        <v>0</v>
      </c>
      <c r="CK27" s="88" t="b">
        <f t="array" ref="CK27">AND(NOT(BZ27:CJ27))</f>
        <v>0</v>
      </c>
      <c r="CL27" s="84" t="s">
        <v>71</v>
      </c>
      <c r="CM27" s="51">
        <f>IF($CE27,IF(T27-S27&lt;0,-0.5,IF(S27-T27&lt;0,0.5,0)),IF($CA27,IF($BR27&gt;$BR28,-0.5,IF($BR27&lt;$BR28,0.5,0)),IF($CB27,IF($BS27&gt;$BS28,-0.5, IF($BS27&lt;$BS28,0.5,0)),0)))</f>
        <v>0</v>
      </c>
      <c r="CN27" s="51">
        <f>IF($CF27,IF(T29-S29&lt;0,-0.5,IF(S29-T29&lt;0,0.5,0)),IF($CA27,IF($BR27&gt;$BR29,-0.5,IF($BR27&lt;$BR29,0.5,0)),IF($CC27,IF($BT27&gt;$BT29,-0.5,IF($BT27&lt;$BT29,0.5,0)),0)))</f>
        <v>0</v>
      </c>
      <c r="CO27" s="85">
        <f>IF($CG27,IF(S31-T31&lt;0,-0.5,IF(T31-S31&lt;0,0.5,0)),IF($CB27,IF($BS27&gt;$BS30,-0.5,IF($BS27&lt;$BS30,0.5,0)),IF($CC27,IF($BT27&gt;$BT30,-0.5, IF($BT27&lt;$BT30,0.5,0)),0)))</f>
        <v>0</v>
      </c>
    </row>
    <row r="28" spans="1:93" ht="14.25" customHeight="1" x14ac:dyDescent="0.2">
      <c r="A28" s="49">
        <f t="shared" ref="A28:A32" si="5">IF(OR(ISBLANK(S28),ISBLANK(T28)),1,0)</f>
        <v>1</v>
      </c>
      <c r="C28" s="49">
        <v>2</v>
      </c>
      <c r="D28" s="49" t="s">
        <v>72</v>
      </c>
      <c r="E28" s="49" t="s">
        <v>11</v>
      </c>
      <c r="F28" s="49" t="s">
        <v>22</v>
      </c>
      <c r="G28" s="11" t="str">
        <f t="shared" ref="G28:G32" si="6">R28</f>
        <v>Korea Republic</v>
      </c>
      <c r="H28" s="11">
        <f t="shared" ref="H28:H32" si="7">AN28</f>
        <v>2.3360687598934606</v>
      </c>
      <c r="I28" s="11"/>
      <c r="J28" s="11" t="s">
        <v>35</v>
      </c>
      <c r="K28" s="11">
        <f t="shared" ref="K28:K32" si="8">AO28</f>
        <v>3.9952171983341223</v>
      </c>
      <c r="L28" s="11"/>
      <c r="M28" s="11" t="str">
        <f t="shared" ref="M28:M32" si="9">U28</f>
        <v>Czechia</v>
      </c>
      <c r="N28" s="11">
        <f t="shared" ref="N28:N32" si="10">AP28</f>
        <v>3.1115488406833309</v>
      </c>
      <c r="O28" s="57"/>
      <c r="P28" s="89">
        <v>46185</v>
      </c>
      <c r="Q28" s="90">
        <v>0.16666666666666666</v>
      </c>
      <c r="R28" s="73" t="s">
        <v>73</v>
      </c>
      <c r="S28" s="12"/>
      <c r="T28" s="12"/>
      <c r="U28" s="91" t="s">
        <v>74</v>
      </c>
      <c r="V28" s="57"/>
      <c r="W28" s="72">
        <f>BA28</f>
        <v>1</v>
      </c>
      <c r="X28" s="73" t="str">
        <f>INDEX(BE27:BE30,MATCH(BC28,$BD27:$BD30,0))</f>
        <v>South Africa</v>
      </c>
      <c r="Y28" s="74">
        <f>INDEX(BF27:BF30,MATCH(BC28,$BD27:$BD30,0))</f>
        <v>0</v>
      </c>
      <c r="Z28" s="74">
        <f>INDEX(BG27:BG30,MATCH(BC28,$BD27:$BD30,0))</f>
        <v>0</v>
      </c>
      <c r="AA28" s="74">
        <f>INDEX(BH27:BH30,MATCH(BC28,$BD27:$BD30,0))</f>
        <v>0</v>
      </c>
      <c r="AB28" s="74">
        <f>INDEX(BI27:BI30,MATCH(BC28,$BD27:$BD30,0))</f>
        <v>0</v>
      </c>
      <c r="AC28" s="57"/>
      <c r="AD28" s="57"/>
      <c r="AE28" s="49" t="str">
        <f t="shared" si="0"/>
        <v>Korea Republic</v>
      </c>
      <c r="AF28" s="49" t="str">
        <f t="shared" si="1"/>
        <v>Czechia</v>
      </c>
      <c r="AG28" s="75">
        <f>_xlfn.XLOOKUP(AE28,'FIFA rankings'!$B:$B,'FIFA rankings'!$D:$D)</f>
        <v>1588.66</v>
      </c>
      <c r="AH28" s="75">
        <f>_xlfn.XLOOKUP(AF28,'FIFA rankings'!$B:$B,'FIFA rankings'!$D:$D)</f>
        <v>1501.38</v>
      </c>
      <c r="AI28" s="76">
        <f t="shared" si="2"/>
        <v>87.279999999999973</v>
      </c>
      <c r="AJ28" s="75"/>
      <c r="AK28" s="77">
        <f t="shared" si="3"/>
        <v>1.5231902013101377</v>
      </c>
      <c r="AL28" s="77">
        <f t="shared" si="4"/>
        <v>1.2867729836458703</v>
      </c>
      <c r="AM28" s="75"/>
      <c r="AN28" s="78" cm="1">
        <f t="array" ref="AN28">1/SUMPRODUCT(_xlfn.POISSON.DIST(ROW($1:$8)-1,$AK28,FALSE)*_xlfn.POISSON.DIST(TRANSPOSE(ROW($1:$8)-1),$AL28,FALSE)*((ROW($1:$8)-1)&gt;(TRANSPOSE(ROW($1:$8)-1))))</f>
        <v>2.3360687598934606</v>
      </c>
      <c r="AO28" s="78" cm="1">
        <f t="array" ref="AO28">1/SUMPRODUCT(_xlfn.POISSON.DIST(ROW($1:$8)-1,$AK28,FALSE)*_xlfn.POISSON.DIST(TRANSPOSE(ROW($1:$8)-1),$AL28,FALSE)*((ROW($1:$8)-1)=(TRANSPOSE(ROW($1:$8)-1))))</f>
        <v>3.9952171983341223</v>
      </c>
      <c r="AP28" s="78" cm="1">
        <f t="array" ref="AP28">1/SUMPRODUCT(_xlfn.POISSON.DIST(ROW($1:$8)-1,$AK28,FALSE)*_xlfn.POISSON.DIST(TRANSPOSE(ROW($1:$8)-1),$AL28,FALSE)*((ROW($1:$8)-1)&lt;(TRANSPOSE(ROW($1:$8)-1))))</f>
        <v>3.1115488406833309</v>
      </c>
      <c r="AQ28" s="75"/>
      <c r="AR28" s="78"/>
      <c r="AS28" s="79">
        <f t="shared" ref="AS28:AS32" si="11">1-SUM(1/AN28,1/AO28,1/AP28)</f>
        <v>2.4777226258132501E-4</v>
      </c>
      <c r="AT28" s="78"/>
      <c r="AU28" s="78"/>
      <c r="AV28" s="78"/>
      <c r="AW28" s="78"/>
      <c r="AX28" s="78"/>
      <c r="AY28" s="62"/>
      <c r="BA28" s="80">
        <f>IF(ROUND(BC28,0)=ROUND(BC27,0),BA27,2)</f>
        <v>1</v>
      </c>
      <c r="BB28" s="80">
        <f>ROUND(BC28,0)</f>
        <v>2</v>
      </c>
      <c r="BC28" s="81">
        <f>MAX(MIN(BD27:BD29),MIN(BD27,BD28,BD30),MIN(BD27,BD29,BD30),MIN(BD28:BD30))</f>
        <v>2.46</v>
      </c>
      <c r="BD28" s="92">
        <f>SUM(BV28:BY28)+2.46</f>
        <v>2.46</v>
      </c>
      <c r="BE28" s="83" t="str">
        <f>U27</f>
        <v>South Africa</v>
      </c>
      <c r="BF28" s="51">
        <f>SUM(BJ28:BM28)</f>
        <v>0</v>
      </c>
      <c r="BG28" s="84">
        <f>T27+T30+S32</f>
        <v>0</v>
      </c>
      <c r="BH28" s="51">
        <f>S27+S30+T32</f>
        <v>0</v>
      </c>
      <c r="BI28" s="85">
        <f>BG28-BH28</f>
        <v>0</v>
      </c>
      <c r="BJ28" s="51">
        <f>IF(ISBLANK(T27),0,IF(BK27=3,0,IF(BK27=1,1,3)))</f>
        <v>0</v>
      </c>
      <c r="BK28" s="51" t="s">
        <v>71</v>
      </c>
      <c r="BL28" s="51">
        <f>IF(ISBLANK(S32),0,IF(BK29=3,0,IF(BK29=1,1,3)))</f>
        <v>0</v>
      </c>
      <c r="BM28" s="51">
        <f>IF(ISBLANK(T30),0,IF(T30&gt;S30,3,IF(T30=S30,1,0)))</f>
        <v>0</v>
      </c>
      <c r="BN28" s="84" t="b">
        <f>(10*(BI27-BI28)+BG27-BG28&lt;0)</f>
        <v>0</v>
      </c>
      <c r="BO28" s="51" t="s">
        <v>71</v>
      </c>
      <c r="BP28" s="51" t="b">
        <f>10*(BI28-BI29)+BG28-BG29&gt;0</f>
        <v>0</v>
      </c>
      <c r="BQ28" s="85" t="b">
        <f>10*(BI28-BI30)+BG28-BG30&gt;0</f>
        <v>0</v>
      </c>
      <c r="BR28" s="84">
        <f>10000*(BJ28+BL28)+(T27-S27+S32-T32)*100+(T27+S32)</f>
        <v>0</v>
      </c>
      <c r="BS28" s="51">
        <f>10000*(BJ28+BM28)+(T27-S27+T30-S30)*100+(T27+T30)</f>
        <v>0</v>
      </c>
      <c r="BT28" s="51" t="s">
        <v>71</v>
      </c>
      <c r="BU28" s="85">
        <f>10000*(BL28+BM28)+(T30-S30+S32-T32)*100+(T30+S32)</f>
        <v>0</v>
      </c>
      <c r="BV28" s="93">
        <f>-BW27</f>
        <v>0</v>
      </c>
      <c r="BW28" s="51" t="s">
        <v>71</v>
      </c>
      <c r="BX28" s="86">
        <f>IF($BF28&gt;$BF29,-0.5,IF($BF29&gt;$BF28,0.5,IF(BP28,-0.5,IF(BO29,0.5,CN28))))</f>
        <v>0</v>
      </c>
      <c r="BY28" s="87">
        <f>IF($BF28&gt;$BF30,-0.5,IF($BF30&gt;$BF28,0.5,IF(BQ28,-0.5,IF(BO30,0.5,CO28))))</f>
        <v>0</v>
      </c>
      <c r="CL28" s="84"/>
      <c r="CM28" s="51" t="s">
        <v>71</v>
      </c>
      <c r="CN28" s="51">
        <f>IF($CH27,IF(T32-S32&lt;0,-0.5,IF(S32-T32&lt;0,0.5,0)),IF($CA27,IF($BR28&gt;$BR29,-0.5,IF($BR28&lt;$BR29,0.5,0)),IF($CD27,IF($BU28&gt;$BU29,-0.5,IF($BU28&lt;$BU29,0.5,0)),0)))</f>
        <v>0</v>
      </c>
      <c r="CO28" s="85">
        <f>IF($CI27,IF(S30-T30&lt;0,-0.5,IF(T30-S30&lt;0,0.5,0)),IF($CB27,IF($BS28&gt;$BS30,-0.5,IF($BS28&lt;$BS30,0.5,0)),IF($CD27,IF($BU28&gt;$BU30,-0.5,IF($BU28&lt;$BU30,0.5,0)),0)))</f>
        <v>0</v>
      </c>
    </row>
    <row r="29" spans="1:93" ht="14.25" customHeight="1" x14ac:dyDescent="0.2">
      <c r="A29" s="49">
        <f t="shared" si="5"/>
        <v>1</v>
      </c>
      <c r="C29" s="49">
        <v>25</v>
      </c>
      <c r="D29" s="49" t="s">
        <v>75</v>
      </c>
      <c r="E29" s="49" t="s">
        <v>11</v>
      </c>
      <c r="F29" s="49" t="s">
        <v>22</v>
      </c>
      <c r="G29" s="11" t="str">
        <f t="shared" si="6"/>
        <v>Mexico</v>
      </c>
      <c r="H29" s="11">
        <f t="shared" si="7"/>
        <v>2.318520170065856</v>
      </c>
      <c r="I29" s="11"/>
      <c r="J29" s="11" t="s">
        <v>35</v>
      </c>
      <c r="K29" s="11">
        <f t="shared" si="8"/>
        <v>4.0000013197451745</v>
      </c>
      <c r="L29" s="11"/>
      <c r="M29" s="11" t="str">
        <f t="shared" si="9"/>
        <v>Korea Republic</v>
      </c>
      <c r="N29" s="11">
        <f t="shared" si="10"/>
        <v>3.1403243697197145</v>
      </c>
      <c r="O29" s="57"/>
      <c r="P29" s="68">
        <v>46192</v>
      </c>
      <c r="Q29" s="69">
        <v>0.125</v>
      </c>
      <c r="R29" s="70" t="str">
        <f>R27</f>
        <v>Mexico</v>
      </c>
      <c r="S29" s="12"/>
      <c r="T29" s="12"/>
      <c r="U29" s="71" t="str">
        <f>R28</f>
        <v>Korea Republic</v>
      </c>
      <c r="V29" s="57"/>
      <c r="W29" s="94">
        <f>BA29</f>
        <v>1</v>
      </c>
      <c r="X29" s="57" t="str">
        <f>INDEX(BE27:BE30,MATCH(BC29,$BD27:$BD30,0))</f>
        <v>Korea Republic</v>
      </c>
      <c r="Y29" s="95">
        <f>INDEX(BF27:BF30,MATCH(BC29,$BD27:$BD30,0))</f>
        <v>0</v>
      </c>
      <c r="Z29" s="95">
        <f>INDEX(BG27:BG30,MATCH(BC29,$BD27:$BD30,0))</f>
        <v>0</v>
      </c>
      <c r="AA29" s="95">
        <f>INDEX(BH27:BH30,MATCH(BC29,$BD27:$BD30,0))</f>
        <v>0</v>
      </c>
      <c r="AB29" s="95">
        <f>INDEX(BI27:BI30,MATCH(BC29,$BD27:$BD30,0))</f>
        <v>0</v>
      </c>
      <c r="AC29" s="57"/>
      <c r="AD29" s="57"/>
      <c r="AE29" s="49" t="str">
        <f t="shared" si="0"/>
        <v>Mexico</v>
      </c>
      <c r="AF29" s="49" t="str">
        <f t="shared" si="1"/>
        <v>Korea Republic</v>
      </c>
      <c r="AG29" s="75">
        <f>_xlfn.XLOOKUP(AE29,'FIFA rankings'!$B:$B,'FIFA rankings'!$D:$D)</f>
        <v>1681.03</v>
      </c>
      <c r="AH29" s="75">
        <f>_xlfn.XLOOKUP(AF29,'FIFA rankings'!$B:$B,'FIFA rankings'!$D:$D)</f>
        <v>1588.66</v>
      </c>
      <c r="AI29" s="76">
        <f t="shared" si="2"/>
        <v>92.369999999999891</v>
      </c>
      <c r="AJ29" s="75"/>
      <c r="AK29" s="77">
        <f t="shared" si="3"/>
        <v>1.5307000638050214</v>
      </c>
      <c r="AL29" s="77">
        <f t="shared" si="4"/>
        <v>1.2804598669237803</v>
      </c>
      <c r="AM29" s="75"/>
      <c r="AN29" s="78" cm="1">
        <f t="array" ref="AN29">1/SUMPRODUCT(_xlfn.POISSON.DIST(ROW($1:$8)-1,$AK29,FALSE)*_xlfn.POISSON.DIST(TRANSPOSE(ROW($1:$8)-1),$AL29,FALSE)*((ROW($1:$8)-1)&gt;(TRANSPOSE(ROW($1:$8)-1))))</f>
        <v>2.318520170065856</v>
      </c>
      <c r="AO29" s="78" cm="1">
        <f t="array" ref="AO29">1/SUMPRODUCT(_xlfn.POISSON.DIST(ROW($1:$8)-1,$AK29,FALSE)*_xlfn.POISSON.DIST(TRANSPOSE(ROW($1:$8)-1),$AL29,FALSE)*((ROW($1:$8)-1)=(TRANSPOSE(ROW($1:$8)-1))))</f>
        <v>4.0000013197451745</v>
      </c>
      <c r="AP29" s="78" cm="1">
        <f t="array" ref="AP29">1/SUMPRODUCT(_xlfn.POISSON.DIST(ROW($1:$8)-1,$AK29,FALSE)*_xlfn.POISSON.DIST(TRANSPOSE(ROW($1:$8)-1),$AL29,FALSE)*((ROW($1:$8)-1)&lt;(TRANSPOSE(ROW($1:$8)-1))))</f>
        <v>3.1403243697197145</v>
      </c>
      <c r="AQ29" s="75"/>
      <c r="AR29" s="78"/>
      <c r="AS29" s="79">
        <f t="shared" si="11"/>
        <v>2.5204345924145777E-4</v>
      </c>
      <c r="BA29" s="80">
        <f>IF(ROUND(BC29,0)=ROUND(BC28,0),BA28,3)</f>
        <v>1</v>
      </c>
      <c r="BB29" s="80">
        <f>ROUND(BC29,0)</f>
        <v>2</v>
      </c>
      <c r="BC29" s="81">
        <f>MIN(MAX(BD27:BD29),MAX(BD27,BD28,BD30),MAX(BD27,BD29,BD30),MAX(BD28:BD30))</f>
        <v>2.4700000000000002</v>
      </c>
      <c r="BD29" s="92">
        <f>SUM(BV29:BY29)+2.47</f>
        <v>2.4700000000000002</v>
      </c>
      <c r="BE29" s="83" t="str">
        <f>R28</f>
        <v>Korea Republic</v>
      </c>
      <c r="BF29" s="51">
        <f>SUM(BJ29:BM29)</f>
        <v>0</v>
      </c>
      <c r="BG29" s="84">
        <f>S28+T29+T32</f>
        <v>0</v>
      </c>
      <c r="BH29" s="51">
        <f>T28+S29+S32</f>
        <v>0</v>
      </c>
      <c r="BI29" s="85">
        <f>BG29-BH29</f>
        <v>0</v>
      </c>
      <c r="BJ29" s="51">
        <f>IF(ISBLANK(T29),0,IF(BL27=3,0,IF(BL27=1,1,3)))</f>
        <v>0</v>
      </c>
      <c r="BK29" s="51">
        <f>IF(ISBLANK(T32),0,IF(T32&gt;S32,3,IF(T32=S32,1,0)))</f>
        <v>0</v>
      </c>
      <c r="BL29" s="51" t="s">
        <v>71</v>
      </c>
      <c r="BM29" s="51">
        <f>IF(ISBLANK(S28),0,IF(S28&gt;T28,3,IF(S28=T28,1,0)))</f>
        <v>0</v>
      </c>
      <c r="BN29" s="84" t="b">
        <f>10*(BI27-BI29)+BG27-BG29&lt;0</f>
        <v>0</v>
      </c>
      <c r="BO29" s="51" t="b">
        <f>10*(BI28-BI29)+BG28-BG29&lt;0</f>
        <v>0</v>
      </c>
      <c r="BP29" s="51" t="s">
        <v>71</v>
      </c>
      <c r="BQ29" s="85" t="b">
        <f>10*(BI29-BI30)+BG29-BG30&gt;0</f>
        <v>0</v>
      </c>
      <c r="BR29" s="84">
        <f>10000*(BJ29+BK29)+(T29-S29+T32-S32)*100+(T29+T32)</f>
        <v>0</v>
      </c>
      <c r="BS29" s="51" t="s">
        <v>71</v>
      </c>
      <c r="BT29" s="51">
        <f>10000*(BJ29+BM29)+(S28-T28+T29-S29)*100+(S28+T29)</f>
        <v>0</v>
      </c>
      <c r="BU29" s="85">
        <f>10000*(BK29+BM29)+(S28-T28+T32-S32)*100+(S28+T32)</f>
        <v>0</v>
      </c>
      <c r="BV29" s="93">
        <f>-BX27</f>
        <v>0</v>
      </c>
      <c r="BW29" s="86">
        <f>-BX28</f>
        <v>0</v>
      </c>
      <c r="BX29" s="86" t="s">
        <v>71</v>
      </c>
      <c r="BY29" s="87">
        <f>IF($BF29&gt;$BF30,-0.5,IF($BF30&gt;$BF29,0.5,IF(BQ29,-0.5,IF(BP30,0.5,CO29))))</f>
        <v>0</v>
      </c>
      <c r="CL29" s="84"/>
      <c r="CM29" s="51"/>
      <c r="CN29" s="51" t="s">
        <v>71</v>
      </c>
      <c r="CO29" s="85">
        <f>IF($CJ27,IF(T28-S28&lt;0,-0.5,IF(S28-T28&lt;0,0.5,0)),IF($CC27,IF($BT29&gt;$BT30,-0.5,IF($BT29&lt;$BT30,0.5,0)),IF($CD27,IF($BU29&gt;$BU30,-0.5,IF($BU29&lt;$BU30,0.5,0)),0)))</f>
        <v>0</v>
      </c>
    </row>
    <row r="30" spans="1:93" ht="14.25" customHeight="1" x14ac:dyDescent="0.2">
      <c r="A30" s="49">
        <f t="shared" si="5"/>
        <v>1</v>
      </c>
      <c r="C30" s="49">
        <v>28</v>
      </c>
      <c r="D30" s="49" t="s">
        <v>76</v>
      </c>
      <c r="E30" s="49" t="s">
        <v>11</v>
      </c>
      <c r="F30" s="49" t="s">
        <v>22</v>
      </c>
      <c r="G30" s="11" t="str">
        <f t="shared" si="6"/>
        <v>Czechia</v>
      </c>
      <c r="H30" s="11">
        <f t="shared" si="7"/>
        <v>2.3914628042790236</v>
      </c>
      <c r="I30" s="11"/>
      <c r="J30" s="11" t="s">
        <v>35</v>
      </c>
      <c r="K30" s="11">
        <f t="shared" si="8"/>
        <v>3.9822531155148146</v>
      </c>
      <c r="L30" s="11"/>
      <c r="M30" s="11" t="str">
        <f t="shared" si="9"/>
        <v>South Africa</v>
      </c>
      <c r="N30" s="11">
        <f t="shared" si="10"/>
        <v>3.0257599817698853</v>
      </c>
      <c r="O30" s="57"/>
      <c r="P30" s="89">
        <v>46191</v>
      </c>
      <c r="Q30" s="90">
        <v>0.75</v>
      </c>
      <c r="R30" s="73" t="str">
        <f>U28</f>
        <v>Czechia</v>
      </c>
      <c r="S30" s="12"/>
      <c r="T30" s="12"/>
      <c r="U30" s="91" t="str">
        <f>U27</f>
        <v>South Africa</v>
      </c>
      <c r="V30" s="57"/>
      <c r="W30" s="94">
        <f>BA30</f>
        <v>1</v>
      </c>
      <c r="X30" s="57" t="str">
        <f>INDEX(BE27:BE30,MATCH(BC30,$BD27:$BD30,0))</f>
        <v>Czechia</v>
      </c>
      <c r="Y30" s="95">
        <f>INDEX(BF27:BF30,MATCH(BC30,$BD27:$BD30,0))</f>
        <v>0</v>
      </c>
      <c r="Z30" s="95">
        <f>INDEX(BG27:BG30,MATCH(BC30,$BD27:$BD30,0))</f>
        <v>0</v>
      </c>
      <c r="AA30" s="95">
        <f>INDEX(BH27:BH30,MATCH(BC30,$BD27:$BD30,0))</f>
        <v>0</v>
      </c>
      <c r="AB30" s="95">
        <f>INDEX(BI27:BI30,MATCH(BC30,$BD27:$BD30,0))</f>
        <v>0</v>
      </c>
      <c r="AC30" s="57"/>
      <c r="AD30" s="57"/>
      <c r="AE30" s="49" t="str">
        <f t="shared" si="0"/>
        <v>Czechia</v>
      </c>
      <c r="AF30" s="49" t="str">
        <f t="shared" si="1"/>
        <v>South Africa</v>
      </c>
      <c r="AG30" s="75">
        <f>_xlfn.XLOOKUP(AE30,'FIFA rankings'!$B:$B,'FIFA rankings'!$D:$D)</f>
        <v>1501.38</v>
      </c>
      <c r="AH30" s="75">
        <f>_xlfn.XLOOKUP(AF30,'FIFA rankings'!$B:$B,'FIFA rankings'!$D:$D)</f>
        <v>1429.73</v>
      </c>
      <c r="AI30" s="76">
        <f t="shared" si="2"/>
        <v>71.650000000000091</v>
      </c>
      <c r="AJ30" s="75"/>
      <c r="AK30" s="77">
        <f t="shared" si="3"/>
        <v>1.5003589660420515</v>
      </c>
      <c r="AL30" s="77">
        <f t="shared" si="4"/>
        <v>1.3063540421733086</v>
      </c>
      <c r="AM30" s="75"/>
      <c r="AN30" s="78" cm="1">
        <f t="array" ref="AN30">1/SUMPRODUCT(_xlfn.POISSON.DIST(ROW($1:$8)-1,$AK30,FALSE)*_xlfn.POISSON.DIST(TRANSPOSE(ROW($1:$8)-1),$AL30,FALSE)*((ROW($1:$8)-1)&gt;(TRANSPOSE(ROW($1:$8)-1))))</f>
        <v>2.3914628042790236</v>
      </c>
      <c r="AO30" s="78" cm="1">
        <f t="array" ref="AO30">1/SUMPRODUCT(_xlfn.POISSON.DIST(ROW($1:$8)-1,$AK30,FALSE)*_xlfn.POISSON.DIST(TRANSPOSE(ROW($1:$8)-1),$AL30,FALSE)*((ROW($1:$8)-1)=(TRANSPOSE(ROW($1:$8)-1))))</f>
        <v>3.9822531155148146</v>
      </c>
      <c r="AP30" s="78" cm="1">
        <f t="array" ref="AP30">1/SUMPRODUCT(_xlfn.POISSON.DIST(ROW($1:$8)-1,$AK30,FALSE)*_xlfn.POISSON.DIST(TRANSPOSE(ROW($1:$8)-1),$AL30,FALSE)*((ROW($1:$8)-1)&lt;(TRANSPOSE(ROW($1:$8)-1))))</f>
        <v>3.0257599817698853</v>
      </c>
      <c r="AQ30" s="75"/>
      <c r="AR30" s="78"/>
      <c r="AS30" s="79">
        <f t="shared" si="11"/>
        <v>2.3628607009451574E-4</v>
      </c>
      <c r="BA30" s="80">
        <f>IF(ROUND(BC30,0)=ROUND(BC29,0),BA29,4)</f>
        <v>1</v>
      </c>
      <c r="BB30" s="80">
        <f>ROUND(BC30,0)</f>
        <v>2</v>
      </c>
      <c r="BC30" s="81">
        <f>MAX(BD27:BD30)</f>
        <v>2.48</v>
      </c>
      <c r="BD30" s="96">
        <f>SUM(BV30:BY30)+2.48</f>
        <v>2.48</v>
      </c>
      <c r="BE30" s="97" t="str">
        <f>U28</f>
        <v>Czechia</v>
      </c>
      <c r="BF30" s="88">
        <f>SUM(BJ30:BM30)</f>
        <v>0</v>
      </c>
      <c r="BG30" s="98">
        <f>T28+S30+S31</f>
        <v>0</v>
      </c>
      <c r="BH30" s="88">
        <f>S28+T30+T31</f>
        <v>0</v>
      </c>
      <c r="BI30" s="99">
        <f>BG30-BH30</f>
        <v>0</v>
      </c>
      <c r="BJ30" s="88">
        <f>IF(ISBLANK(S31),0,IF(BM27=3,0,IF(BM27=1,1,3)))</f>
        <v>0</v>
      </c>
      <c r="BK30" s="88">
        <f>IF(ISBLANK(S30),0,IF(BM28=3,0,IF(BM28=1,1,3)))</f>
        <v>0</v>
      </c>
      <c r="BL30" s="88">
        <f>IF(ISBLANK(T28),0,IF(BM29=3,0,IF(BM29=1,1,3)))</f>
        <v>0</v>
      </c>
      <c r="BM30" s="88" t="s">
        <v>71</v>
      </c>
      <c r="BN30" s="98" t="b">
        <f>10*(BI27-BI30)+BG27-BG30&lt;0</f>
        <v>0</v>
      </c>
      <c r="BO30" s="88" t="b">
        <f>10*(BI28-BI30)+BG28-BG30&lt;0</f>
        <v>0</v>
      </c>
      <c r="BP30" s="88" t="b">
        <f>10*(BI29-BI30)+BG29-BG30&lt;0</f>
        <v>0</v>
      </c>
      <c r="BQ30" s="99" t="s">
        <v>71</v>
      </c>
      <c r="BR30" s="98" t="s">
        <v>71</v>
      </c>
      <c r="BS30" s="88">
        <f>10000*(BJ30+BK30)+(S30-T30+S31-T31)*100+(S30+S31)</f>
        <v>0</v>
      </c>
      <c r="BT30" s="88">
        <f>10000*(BJ30+BL30)+(S31-T31+T28-S28)*100+(S31+T28)</f>
        <v>0</v>
      </c>
      <c r="BU30" s="99">
        <f>10000*(BK30+BL30)+(S30-T30+T28-S28)*100+(S30+T28)</f>
        <v>0</v>
      </c>
      <c r="BV30" s="100">
        <f>-BY27</f>
        <v>0</v>
      </c>
      <c r="BW30" s="101">
        <f>-BY28</f>
        <v>0</v>
      </c>
      <c r="BX30" s="101">
        <f>-BY29</f>
        <v>0</v>
      </c>
      <c r="BY30" s="99" t="s">
        <v>71</v>
      </c>
      <c r="CL30" s="98"/>
      <c r="CM30" s="88"/>
      <c r="CN30" s="88"/>
      <c r="CO30" s="99" t="s">
        <v>71</v>
      </c>
    </row>
    <row r="31" spans="1:93" ht="14.25" customHeight="1" x14ac:dyDescent="0.2">
      <c r="A31" s="49">
        <f t="shared" si="5"/>
        <v>1</v>
      </c>
      <c r="C31" s="49">
        <v>53</v>
      </c>
      <c r="E31" s="49" t="s">
        <v>11</v>
      </c>
      <c r="F31" s="49" t="s">
        <v>22</v>
      </c>
      <c r="G31" s="11" t="str">
        <f t="shared" si="6"/>
        <v>Czechia</v>
      </c>
      <c r="H31" s="11">
        <f t="shared" si="7"/>
        <v>3.7063186001822643</v>
      </c>
      <c r="I31" s="11"/>
      <c r="J31" s="11" t="s">
        <v>35</v>
      </c>
      <c r="K31" s="11">
        <f t="shared" si="8"/>
        <v>4.1264874440237902</v>
      </c>
      <c r="L31" s="11"/>
      <c r="M31" s="11" t="str">
        <f t="shared" si="9"/>
        <v>Mexico</v>
      </c>
      <c r="N31" s="11">
        <f t="shared" si="10"/>
        <v>2.0513561816490014</v>
      </c>
      <c r="O31" s="57"/>
      <c r="P31" s="68">
        <v>46198</v>
      </c>
      <c r="Q31" s="69">
        <v>0.125</v>
      </c>
      <c r="R31" s="70" t="str">
        <f>U28</f>
        <v>Czechia</v>
      </c>
      <c r="S31" s="12"/>
      <c r="T31" s="12"/>
      <c r="U31" s="71" t="str">
        <f>R27</f>
        <v>Mexico</v>
      </c>
      <c r="V31" s="57"/>
      <c r="W31" s="102"/>
      <c r="X31" s="103" t="str">
        <f>IF(OR(W29&lt;3,W28&lt;2),"TIRAGE AU SORT !!!"," ")</f>
        <v>TIRAGE AU SORT !!!</v>
      </c>
      <c r="Y31" s="104"/>
      <c r="Z31" s="104"/>
      <c r="AA31" s="104"/>
      <c r="AB31" s="104"/>
      <c r="AC31" s="57"/>
      <c r="AD31" s="57"/>
      <c r="AE31" s="49" t="str">
        <f t="shared" si="0"/>
        <v>Czechia</v>
      </c>
      <c r="AF31" s="49" t="str">
        <f t="shared" si="1"/>
        <v>Mexico</v>
      </c>
      <c r="AG31" s="75">
        <f>_xlfn.XLOOKUP(AE31,'FIFA rankings'!$B:$B,'FIFA rankings'!$D:$D)</f>
        <v>1501.38</v>
      </c>
      <c r="AH31" s="75">
        <f>_xlfn.XLOOKUP(AF31,'FIFA rankings'!$B:$B,'FIFA rankings'!$D:$D)</f>
        <v>1681.03</v>
      </c>
      <c r="AI31" s="76">
        <f t="shared" si="2"/>
        <v>-179.64999999999986</v>
      </c>
      <c r="AJ31" s="75"/>
      <c r="AK31" s="77">
        <f t="shared" si="3"/>
        <v>1.1769008310002194</v>
      </c>
      <c r="AL31" s="77">
        <f t="shared" si="4"/>
        <v>1.6653909559518651</v>
      </c>
      <c r="AM31" s="75"/>
      <c r="AN31" s="78" cm="1">
        <f t="array" ref="AN31">1/SUMPRODUCT(_xlfn.POISSON.DIST(ROW($1:$8)-1,$AK31,FALSE)*_xlfn.POISSON.DIST(TRANSPOSE(ROW($1:$8)-1),$AL31,FALSE)*((ROW($1:$8)-1)&gt;(TRANSPOSE(ROW($1:$8)-1))))</f>
        <v>3.7063186001822643</v>
      </c>
      <c r="AO31" s="78" cm="1">
        <f t="array" ref="AO31">1/SUMPRODUCT(_xlfn.POISSON.DIST(ROW($1:$8)-1,$AK31,FALSE)*_xlfn.POISSON.DIST(TRANSPOSE(ROW($1:$8)-1),$AL31,FALSE)*((ROW($1:$8)-1)=(TRANSPOSE(ROW($1:$8)-1))))</f>
        <v>4.1264874440237902</v>
      </c>
      <c r="AP31" s="78" cm="1">
        <f t="array" ref="AP31">1/SUMPRODUCT(_xlfn.POISSON.DIST(ROW($1:$8)-1,$AK31,FALSE)*_xlfn.POISSON.DIST(TRANSPOSE(ROW($1:$8)-1),$AL31,FALSE)*((ROW($1:$8)-1)&lt;(TRANSPOSE(ROW($1:$8)-1))))</f>
        <v>2.0513561816490014</v>
      </c>
      <c r="AQ31" s="75"/>
      <c r="AR31" s="78"/>
      <c r="AS31" s="79">
        <f t="shared" si="11"/>
        <v>3.7125079728350663E-4</v>
      </c>
      <c r="BB31" s="81"/>
      <c r="BC31" s="81"/>
      <c r="BD31" s="81"/>
    </row>
    <row r="32" spans="1:93" ht="14.25" customHeight="1" x14ac:dyDescent="0.2">
      <c r="A32" s="49">
        <f t="shared" si="5"/>
        <v>1</v>
      </c>
      <c r="C32" s="49">
        <v>54</v>
      </c>
      <c r="E32" s="49" t="s">
        <v>11</v>
      </c>
      <c r="F32" s="49" t="s">
        <v>22</v>
      </c>
      <c r="G32" s="11" t="str">
        <f t="shared" si="6"/>
        <v>South Africa</v>
      </c>
      <c r="H32" s="11">
        <f t="shared" si="7"/>
        <v>3.558484627687156</v>
      </c>
      <c r="I32" s="11"/>
      <c r="J32" s="11" t="s">
        <v>35</v>
      </c>
      <c r="K32" s="11">
        <f t="shared" si="8"/>
        <v>4.0886530647950208</v>
      </c>
      <c r="L32" s="11"/>
      <c r="M32" s="11" t="str">
        <f t="shared" si="9"/>
        <v>Korea Republic</v>
      </c>
      <c r="N32" s="11">
        <f t="shared" si="10"/>
        <v>2.1094027077586994</v>
      </c>
      <c r="O32" s="57"/>
      <c r="P32" s="89">
        <v>46198</v>
      </c>
      <c r="Q32" s="90">
        <v>0.125</v>
      </c>
      <c r="R32" s="73" t="str">
        <f>U27</f>
        <v>South Africa</v>
      </c>
      <c r="S32" s="12"/>
      <c r="T32" s="12"/>
      <c r="U32" s="91" t="str">
        <f>R28</f>
        <v>Korea Republic</v>
      </c>
      <c r="V32" s="57"/>
      <c r="W32" s="95"/>
      <c r="X32" s="57"/>
      <c r="Y32" s="57"/>
      <c r="Z32" s="57"/>
      <c r="AA32" s="57"/>
      <c r="AB32" s="57"/>
      <c r="AC32" s="57"/>
      <c r="AD32" s="57"/>
      <c r="AE32" s="49" t="str">
        <f t="shared" si="0"/>
        <v>South Africa</v>
      </c>
      <c r="AF32" s="49" t="str">
        <f t="shared" si="1"/>
        <v>Korea Republic</v>
      </c>
      <c r="AG32" s="75">
        <f>_xlfn.XLOOKUP(AE32,'FIFA rankings'!$B:$B,'FIFA rankings'!$D:$D)</f>
        <v>1429.73</v>
      </c>
      <c r="AH32" s="75">
        <f>_xlfn.XLOOKUP(AF32,'FIFA rankings'!$B:$B,'FIFA rankings'!$D:$D)</f>
        <v>1588.66</v>
      </c>
      <c r="AI32" s="76">
        <f t="shared" si="2"/>
        <v>-158.93000000000006</v>
      </c>
      <c r="AJ32" s="75"/>
      <c r="AK32" s="77">
        <f t="shared" si="3"/>
        <v>1.2007007775322798</v>
      </c>
      <c r="AL32" s="77">
        <f t="shared" si="4"/>
        <v>1.6323800539450444</v>
      </c>
      <c r="AM32" s="75"/>
      <c r="AN32" s="78" cm="1">
        <f t="array" ref="AN32">1/SUMPRODUCT(_xlfn.POISSON.DIST(ROW($1:$8)-1,$AK32,FALSE)*_xlfn.POISSON.DIST(TRANSPOSE(ROW($1:$8)-1),$AL32,FALSE)*((ROW($1:$8)-1)&gt;(TRANSPOSE(ROW($1:$8)-1))))</f>
        <v>3.558484627687156</v>
      </c>
      <c r="AO32" s="78" cm="1">
        <f t="array" ref="AO32">1/SUMPRODUCT(_xlfn.POISSON.DIST(ROW($1:$8)-1,$AK32,FALSE)*_xlfn.POISSON.DIST(TRANSPOSE(ROW($1:$8)-1),$AL32,FALSE)*((ROW($1:$8)-1)=(TRANSPOSE(ROW($1:$8)-1))))</f>
        <v>4.0886530647950208</v>
      </c>
      <c r="AP32" s="78" cm="1">
        <f t="array" ref="AP32">1/SUMPRODUCT(_xlfn.POISSON.DIST(ROW($1:$8)-1,$AK32,FALSE)*_xlfn.POISSON.DIST(TRANSPOSE(ROW($1:$8)-1),$AL32,FALSE)*((ROW($1:$8)-1)&lt;(TRANSPOSE(ROW($1:$8)-1))))</f>
        <v>2.1094027077586994</v>
      </c>
      <c r="AQ32" s="75"/>
      <c r="AR32" s="78"/>
      <c r="AS32" s="79">
        <f t="shared" si="11"/>
        <v>3.3433317786091266E-4</v>
      </c>
    </row>
    <row r="33" spans="1:93" ht="14.25" customHeight="1" x14ac:dyDescent="0.2">
      <c r="F33" s="49"/>
      <c r="G33" s="11"/>
      <c r="H33" s="11"/>
      <c r="I33" s="11"/>
      <c r="J33" s="11"/>
      <c r="K33" s="11"/>
      <c r="L33" s="11"/>
      <c r="M33" s="11"/>
      <c r="N33" s="11"/>
      <c r="O33" s="57"/>
      <c r="P33" s="105"/>
      <c r="Q33" s="106"/>
      <c r="R33" s="57"/>
      <c r="S33" s="57"/>
      <c r="T33" s="57"/>
      <c r="U33" s="57"/>
      <c r="V33" s="57"/>
      <c r="W33" s="95"/>
      <c r="X33" s="57"/>
      <c r="Y33" s="57"/>
      <c r="Z33" s="57"/>
      <c r="AA33" s="57"/>
      <c r="AB33" s="57"/>
      <c r="AC33" s="57"/>
      <c r="AD33" s="57"/>
      <c r="AN33" s="57"/>
    </row>
    <row r="34" spans="1:93" ht="14.25" customHeight="1" x14ac:dyDescent="0.2">
      <c r="F34" s="49" t="s">
        <v>77</v>
      </c>
      <c r="G34" s="107" t="str">
        <f>$F34 &amp; " / Odds"</f>
        <v>Group B / Odds</v>
      </c>
      <c r="H34" s="107"/>
      <c r="I34" s="107"/>
      <c r="J34" s="107"/>
      <c r="K34" s="107"/>
      <c r="L34" s="107"/>
      <c r="M34" s="107"/>
      <c r="N34" s="107"/>
      <c r="O34" s="57"/>
      <c r="P34" s="107" t="str">
        <f>$F34 &amp; " / Results"</f>
        <v>Group B / Results</v>
      </c>
      <c r="Q34" s="108"/>
      <c r="R34" s="109"/>
      <c r="S34" s="109"/>
      <c r="T34" s="109"/>
      <c r="U34" s="109"/>
      <c r="V34" s="57"/>
      <c r="W34" s="110"/>
      <c r="X34" s="111" t="str">
        <f>X26</f>
        <v>Ranking</v>
      </c>
      <c r="Y34" s="112" t="s">
        <v>24</v>
      </c>
      <c r="Z34" s="112" t="s">
        <v>25</v>
      </c>
      <c r="AA34" s="112" t="s">
        <v>26</v>
      </c>
      <c r="AB34" s="112" t="str">
        <f>"+/-"</f>
        <v>+/-</v>
      </c>
      <c r="AC34" s="57"/>
      <c r="AD34" s="57"/>
      <c r="AN34" s="57"/>
      <c r="BD34" s="63" t="s">
        <v>37</v>
      </c>
      <c r="BE34" s="64" t="s">
        <v>38</v>
      </c>
      <c r="BF34" s="65" t="s">
        <v>24</v>
      </c>
      <c r="BG34" s="66" t="s">
        <v>25</v>
      </c>
      <c r="BH34" s="65" t="s">
        <v>26</v>
      </c>
      <c r="BI34" s="67" t="s">
        <v>39</v>
      </c>
      <c r="BJ34" s="65" t="s">
        <v>40</v>
      </c>
      <c r="BK34" s="65" t="s">
        <v>41</v>
      </c>
      <c r="BL34" s="65" t="s">
        <v>42</v>
      </c>
      <c r="BM34" s="65" t="s">
        <v>43</v>
      </c>
      <c r="BN34" s="66" t="s">
        <v>44</v>
      </c>
      <c r="BO34" s="65" t="s">
        <v>45</v>
      </c>
      <c r="BP34" s="65" t="s">
        <v>46</v>
      </c>
      <c r="BQ34" s="67" t="s">
        <v>47</v>
      </c>
      <c r="BR34" s="66" t="s">
        <v>48</v>
      </c>
      <c r="BS34" s="65" t="s">
        <v>49</v>
      </c>
      <c r="BT34" s="65" t="s">
        <v>50</v>
      </c>
      <c r="BU34" s="67" t="s">
        <v>51</v>
      </c>
      <c r="BV34" s="66" t="s">
        <v>52</v>
      </c>
      <c r="BW34" s="65" t="s">
        <v>53</v>
      </c>
      <c r="BX34" s="65" t="s">
        <v>54</v>
      </c>
      <c r="BY34" s="67" t="s">
        <v>55</v>
      </c>
      <c r="BZ34" s="66" t="s">
        <v>56</v>
      </c>
      <c r="CA34" s="65" t="s">
        <v>48</v>
      </c>
      <c r="CB34" s="65" t="s">
        <v>49</v>
      </c>
      <c r="CC34" s="65" t="s">
        <v>50</v>
      </c>
      <c r="CD34" s="65" t="s">
        <v>51</v>
      </c>
      <c r="CE34" s="65" t="s">
        <v>57</v>
      </c>
      <c r="CF34" s="65" t="s">
        <v>58</v>
      </c>
      <c r="CG34" s="65" t="s">
        <v>59</v>
      </c>
      <c r="CH34" s="65" t="s">
        <v>60</v>
      </c>
      <c r="CI34" s="65" t="s">
        <v>61</v>
      </c>
      <c r="CJ34" s="65" t="s">
        <v>62</v>
      </c>
      <c r="CK34" s="65" t="s">
        <v>63</v>
      </c>
      <c r="CL34" s="66" t="s">
        <v>64</v>
      </c>
      <c r="CM34" s="65" t="s">
        <v>65</v>
      </c>
      <c r="CN34" s="65" t="s">
        <v>66</v>
      </c>
      <c r="CO34" s="67" t="s">
        <v>67</v>
      </c>
    </row>
    <row r="35" spans="1:93" ht="14.25" customHeight="1" x14ac:dyDescent="0.25">
      <c r="A35" s="49">
        <f>IF(OR(ISBLANK(S35),ISBLANK(T35)),1,0)</f>
        <v>1</v>
      </c>
      <c r="C35" s="49">
        <v>3</v>
      </c>
      <c r="D35" s="49" t="s">
        <v>78</v>
      </c>
      <c r="E35" s="49" t="s">
        <v>11</v>
      </c>
      <c r="F35" s="49" t="s">
        <v>77</v>
      </c>
      <c r="G35" s="11" t="str">
        <f>R35</f>
        <v>Canada</v>
      </c>
      <c r="H35" s="11">
        <f>AN35</f>
        <v>2.076216755092406</v>
      </c>
      <c r="I35" s="11"/>
      <c r="J35" s="11" t="s">
        <v>35</v>
      </c>
      <c r="K35" s="11">
        <f>AO35</f>
        <v>4.1094180912629534</v>
      </c>
      <c r="L35" s="11"/>
      <c r="M35" s="11" t="str">
        <f>U35</f>
        <v>Bosnia and Herzegovina</v>
      </c>
      <c r="N35" s="11">
        <f>AP35</f>
        <v>3.6409074708906495</v>
      </c>
      <c r="O35" s="57"/>
      <c r="P35" s="68">
        <v>46185</v>
      </c>
      <c r="Q35" s="69">
        <v>0.875</v>
      </c>
      <c r="R35" s="113" t="s">
        <v>79</v>
      </c>
      <c r="S35" s="13"/>
      <c r="T35" s="13"/>
      <c r="U35" s="114" t="s">
        <v>80</v>
      </c>
      <c r="V35" s="57"/>
      <c r="W35" s="115">
        <f>BA35</f>
        <v>1</v>
      </c>
      <c r="X35" s="116" t="str">
        <f>INDEX(BE35:BE38,MATCH(BC35,$BD35:$BD38,0))</f>
        <v>Canada</v>
      </c>
      <c r="Y35" s="117">
        <f>INDEX(BF35:BF38,MATCH(BC35,$BD35:$BD38,0))</f>
        <v>0</v>
      </c>
      <c r="Z35" s="117">
        <f>INDEX(BG35:BG38,MATCH(BC35,$BD35:$BD38,0))</f>
        <v>0</v>
      </c>
      <c r="AA35" s="117">
        <f>INDEX(BH35:BH38,MATCH(BC35,$BD35:$BD38,0))</f>
        <v>0</v>
      </c>
      <c r="AB35" s="117">
        <f>INDEX(BI35:BI38,MATCH(BC35,$BD35:$BD38,0))</f>
        <v>0</v>
      </c>
      <c r="AC35" s="57"/>
      <c r="AD35" s="57"/>
      <c r="AE35" s="49" t="str">
        <f t="shared" ref="AE35:AE40" si="12">R35</f>
        <v>Canada</v>
      </c>
      <c r="AF35" s="49" t="str">
        <f t="shared" ref="AF35:AF40" si="13">U35</f>
        <v>Bosnia and Herzegovina</v>
      </c>
      <c r="AG35" s="75">
        <f>_xlfn.XLOOKUP(AE35,'FIFA rankings'!$B:$B,'FIFA rankings'!$D:$D)</f>
        <v>1556.48</v>
      </c>
      <c r="AH35" s="75">
        <f>_xlfn.XLOOKUP(AF35,'FIFA rankings'!$B:$B,'FIFA rankings'!$D:$D)</f>
        <v>1385.84</v>
      </c>
      <c r="AI35" s="76">
        <f t="shared" ref="AI35:AI40" si="14">IFERROR(AG35-AH35,"n.a.")</f>
        <v>170.6400000000001</v>
      </c>
      <c r="AJ35" s="75"/>
      <c r="AK35" s="77">
        <f t="shared" ref="AK35:AK40" si="15">IFERROR($AI$7*POWER(10,$AI35/$AI$6),"n.a.")</f>
        <v>1.6509550668690987</v>
      </c>
      <c r="AL35" s="77">
        <f t="shared" ref="AL35:AL40" si="16">IFERROR($AI$7*POWER(10,-$AI35/$AI$6),"n.a.")</f>
        <v>1.1871916076534896</v>
      </c>
      <c r="AM35" s="75"/>
      <c r="AN35" s="78" cm="1">
        <f t="array" ref="AN35">1/SUMPRODUCT(_xlfn.POISSON.DIST(ROW($1:$8)-1,$AK35,FALSE)*_xlfn.POISSON.DIST(TRANSPOSE(ROW($1:$8)-1),$AL35,FALSE)*((ROW($1:$8)-1)&gt;(TRANSPOSE(ROW($1:$8)-1))))</f>
        <v>2.076216755092406</v>
      </c>
      <c r="AO35" s="78" cm="1">
        <f t="array" ref="AO35">1/SUMPRODUCT(_xlfn.POISSON.DIST(ROW($1:$8)-1,$AK35,FALSE)*_xlfn.POISSON.DIST(TRANSPOSE(ROW($1:$8)-1),$AL35,FALSE)*((ROW($1:$8)-1)=(TRANSPOSE(ROW($1:$8)-1))))</f>
        <v>4.1094180912629534</v>
      </c>
      <c r="AP35" s="78" cm="1">
        <f t="array" ref="AP35">1/SUMPRODUCT(_xlfn.POISSON.DIST(ROW($1:$8)-1,$AK35,FALSE)*_xlfn.POISSON.DIST(TRANSPOSE(ROW($1:$8)-1),$AL35,FALSE)*((ROW($1:$8)-1)&lt;(TRANSPOSE(ROW($1:$8)-1))))</f>
        <v>3.6409074708906495</v>
      </c>
      <c r="AQ35" s="75"/>
      <c r="AR35" s="78"/>
      <c r="AS35" s="79">
        <f>1-SUM(1/AN35,1/AO35,1/AP35)</f>
        <v>3.5446292395402423E-4</v>
      </c>
      <c r="AY35" s="118"/>
      <c r="BA35" s="80">
        <v>1</v>
      </c>
      <c r="BB35" s="80">
        <f>ROUND(BC35,0)</f>
        <v>2</v>
      </c>
      <c r="BC35" s="81">
        <f>MIN(BD35:BD38)</f>
        <v>2.4500000000000002</v>
      </c>
      <c r="BD35" s="82">
        <f>SUM(BV35:BY35)+2.45</f>
        <v>2.4500000000000002</v>
      </c>
      <c r="BE35" s="83" t="str">
        <f>R35</f>
        <v>Canada</v>
      </c>
      <c r="BF35" s="51">
        <f>SUM(BJ35:BM35)</f>
        <v>0</v>
      </c>
      <c r="BG35" s="84">
        <f>S35+S37+T39</f>
        <v>0</v>
      </c>
      <c r="BH35" s="51">
        <f>T35+T37+S39</f>
        <v>0</v>
      </c>
      <c r="BI35" s="85">
        <f>BG35-BH35</f>
        <v>0</v>
      </c>
      <c r="BJ35" s="51" t="s">
        <v>71</v>
      </c>
      <c r="BK35" s="51">
        <f>IF(ISBLANK(S35),0,IF(S35&gt;T35,3,IF(S35=T35,1,0)))</f>
        <v>0</v>
      </c>
      <c r="BL35" s="51">
        <f>IF(ISBLANK(S37),0,IF(S37&gt;T37,3,IF(S37=T37,1,0)))</f>
        <v>0</v>
      </c>
      <c r="BM35" s="51">
        <f>IF(ISBLANK(T39),0,IF(T39&gt;S39,3,IF(T39=S39,1,0)))</f>
        <v>0</v>
      </c>
      <c r="BN35" s="84" t="s">
        <v>71</v>
      </c>
      <c r="BO35" s="51" t="b">
        <f>(10*(BI35-BI36)+BG35-BG36&gt;0)</f>
        <v>0</v>
      </c>
      <c r="BP35" s="51" t="b">
        <f>10*(BI35-BI37)+BG35-BG37&gt;0</f>
        <v>0</v>
      </c>
      <c r="BQ35" s="85" t="b">
        <f>10*(BI35-BI38)+BG35-BG38&gt;0</f>
        <v>0</v>
      </c>
      <c r="BR35" s="84">
        <f>10000*(BK35+BL35)+(S37-T37+S35-T35)*100+(S37+S35)</f>
        <v>0</v>
      </c>
      <c r="BS35" s="51">
        <f>10000*(BK35+BM35)+(S35-T35+T39-S39)*100+(S35+T39)</f>
        <v>0</v>
      </c>
      <c r="BT35" s="51">
        <f>10000*(BL35+BM35)+(T39-S39+S37-T37)*100+(T39+S37)</f>
        <v>0</v>
      </c>
      <c r="BU35" s="85" t="s">
        <v>71</v>
      </c>
      <c r="BV35" s="84" t="s">
        <v>71</v>
      </c>
      <c r="BW35" s="86">
        <f>IF($BF35&gt;$BF36,-0.5,IF($BF36&gt;$BF35,0.5,IF(BO35,-0.5,IF(BN36,0.5,CM35))))</f>
        <v>0</v>
      </c>
      <c r="BX35" s="86">
        <f>IF($BF35&gt;$BF37,-0.5,IF($BF37&gt;$BF35,0.5,IF(BP35,-0.5,IF(BN37,0.5,CN35))))</f>
        <v>0</v>
      </c>
      <c r="BY35" s="87">
        <f>IF($BF35&gt;$BF38,-0.5,IF($BF38&gt;$BF35,0.5,IF(BQ35,-0.5,IF(BN38,0.5,CO35))))</f>
        <v>0</v>
      </c>
      <c r="BZ35" s="88" t="b">
        <f>AND(AND(BF35=BF36,BF36=BF37,BF37=BF38),AND(BG35=BG36,BG36=BG37,BG37=BG38),AND(BH35=BH36,BH36=BH37,BH37=BH38))</f>
        <v>1</v>
      </c>
      <c r="CA35" s="88" t="b">
        <f>AND(NOT(BZ35),BF35=BF36,BF35=BF37,BG35=BG36,BG35=BG37,BH35=BH36,BH35=BH37)</f>
        <v>0</v>
      </c>
      <c r="CB35" s="88" t="b">
        <f>AND(NOT(BZ35),BF35=BF36,BF35=BF38,BG35=BG36,BG35=BG38,BH35=BH36,BH35=BH38)</f>
        <v>0</v>
      </c>
      <c r="CC35" s="88" t="b">
        <f>AND(NOT(BZ35),BF35=BF37,BF35=BF38,BG35=BG37,BG35=BG38,BH35=BH37,BH35=BH38)</f>
        <v>0</v>
      </c>
      <c r="CD35" s="88" t="b">
        <f>AND(NOT(BZ35),BF36=BF37,BF36=BF38,BG36=BG37,BG36=BG38,BH36=BH37,BH36=BH38)</f>
        <v>0</v>
      </c>
      <c r="CE35" s="88" t="b">
        <f>AND(NOT(BZ35),NOT(CA35),NOT(CB35),BF35=BF36,BG35=BG36,BH35=BH36)</f>
        <v>0</v>
      </c>
      <c r="CF35" s="88" t="b">
        <f>AND(NOT(BZ35),NOT(CA35),NOT(CC35),BF35=BF37,BG35=BG37,BH35=BH37)</f>
        <v>0</v>
      </c>
      <c r="CG35" s="88" t="b">
        <f>AND(NOT(BZ35),NOT(CB35),NOT(CC35),BF35=BF38,BG35=BG38,BH35=BH38)</f>
        <v>0</v>
      </c>
      <c r="CH35" s="88" t="b">
        <f>AND(NOT(BZ35),NOT(CA35),NOT(CD35),BF36=BF37,BG36=BG37)</f>
        <v>0</v>
      </c>
      <c r="CI35" s="88" t="b">
        <f>AND(NOT(BZ35),NOT(CB35),NOT(CD35),BF36=BF38,BG36=BG38,BH36=BH38)</f>
        <v>0</v>
      </c>
      <c r="CJ35" s="88" t="b">
        <f>AND(NOT(BZ35),NOT(CC35),NOT(CD35),BF37=BF38,BG37=BG38,BH37=BH38)</f>
        <v>0</v>
      </c>
      <c r="CK35" s="88" t="b">
        <f t="array" ref="CK35">AND(NOT(BZ35:CJ35))</f>
        <v>0</v>
      </c>
      <c r="CL35" s="84" t="s">
        <v>71</v>
      </c>
      <c r="CM35" s="51">
        <f>IF($CE35,IF(T35-S35&lt;0,-0.5,IF(S35-T35&lt;0,0.5,0)),IF($CA35,IF($BR35&gt;$BR36,-0.5,IF($BR35&lt;$BR36,0.5,0)),IF($CB35,IF($BS35&gt;$BS36,-0.5, IF($BS35&lt;$BS36,0.5,0)),0)))</f>
        <v>0</v>
      </c>
      <c r="CN35" s="51">
        <f>IF($CF35,IF(T37-S37&lt;0,-0.5,IF(S37-T37&lt;0,0.5,0)),IF($CA35,IF($BR35&gt;$BR37,-0.5,IF($BR35&lt;$BR37,0.5,0)),IF($CC35,IF($BT35&gt;$BT37,-0.5,IF($BT35&lt;$BT37,0.5,0)),0)))</f>
        <v>0</v>
      </c>
      <c r="CO35" s="85">
        <f>IF($CG35,IF(S39-T39&lt;0,-0.5,IF(T39-S39&lt;0,0.5,0)),IF($CB35,IF($BS35&gt;$BS38,-0.5,IF($BS35&lt;$BS38,0.5,0)),IF($CC35,IF($BT35&gt;$BT38,-0.5, IF($BT35&lt;$BT38,0.5,0)),0)))</f>
        <v>0</v>
      </c>
    </row>
    <row r="36" spans="1:93" ht="14.25" customHeight="1" x14ac:dyDescent="0.2">
      <c r="A36" s="49">
        <f t="shared" ref="A36:A40" si="17">IF(OR(ISBLANK(S36),ISBLANK(T36)),1,0)</f>
        <v>1</v>
      </c>
      <c r="C36" s="49">
        <v>8</v>
      </c>
      <c r="D36" s="49" t="s">
        <v>81</v>
      </c>
      <c r="E36" s="49" t="s">
        <v>11</v>
      </c>
      <c r="F36" s="49" t="s">
        <v>77</v>
      </c>
      <c r="G36" s="11" t="str">
        <f t="shared" ref="G36:G40" si="18">R36</f>
        <v>Qatar</v>
      </c>
      <c r="H36" s="11">
        <f t="shared" ref="H36:H40" si="19">AN36</f>
        <v>3.8176094632611801</v>
      </c>
      <c r="I36" s="11"/>
      <c r="J36" s="11" t="s">
        <v>35</v>
      </c>
      <c r="K36" s="11">
        <f t="shared" ref="K36:K40" si="20">AO36</f>
        <v>4.1566023506403429</v>
      </c>
      <c r="L36" s="11"/>
      <c r="M36" s="11" t="str">
        <f t="shared" ref="M36:M40" si="21">U36</f>
        <v>Switzerland</v>
      </c>
      <c r="N36" s="11">
        <f t="shared" ref="N36:N40" si="22">AP36</f>
        <v>2.0117750492136781</v>
      </c>
      <c r="O36" s="57"/>
      <c r="P36" s="89">
        <v>46186</v>
      </c>
      <c r="Q36" s="90">
        <v>0.875</v>
      </c>
      <c r="R36" s="116" t="s">
        <v>82</v>
      </c>
      <c r="S36" s="13"/>
      <c r="T36" s="13"/>
      <c r="U36" s="119" t="s">
        <v>83</v>
      </c>
      <c r="V36" s="57"/>
      <c r="W36" s="115">
        <f>BA36</f>
        <v>1</v>
      </c>
      <c r="X36" s="116" t="str">
        <f>INDEX(BE35:BE38,MATCH(BC36,$BD35:$BD38,0))</f>
        <v>Bosnia and Herzegovina</v>
      </c>
      <c r="Y36" s="117">
        <f>INDEX(BF35:BF38,MATCH(BC36,$BD35:$BD38,0))</f>
        <v>0</v>
      </c>
      <c r="Z36" s="117">
        <f>INDEX(BG35:BG38,MATCH(BC36,$BD35:$BD38,0))</f>
        <v>0</v>
      </c>
      <c r="AA36" s="117">
        <f>INDEX(BH35:BH38,MATCH(BC36,$BD35:$BD38,0))</f>
        <v>0</v>
      </c>
      <c r="AB36" s="117">
        <f>INDEX(BI35:BI38,MATCH(BC36,$BD35:$BD38,0))</f>
        <v>0</v>
      </c>
      <c r="AC36" s="57"/>
      <c r="AD36" s="57"/>
      <c r="AE36" s="49" t="str">
        <f t="shared" si="12"/>
        <v>Qatar</v>
      </c>
      <c r="AF36" s="49" t="str">
        <f t="shared" si="13"/>
        <v>Switzerland</v>
      </c>
      <c r="AG36" s="75">
        <f>_xlfn.XLOOKUP(AE36,'FIFA rankings'!$B:$B,'FIFA rankings'!$D:$D)</f>
        <v>1454.96</v>
      </c>
      <c r="AH36" s="75">
        <f>_xlfn.XLOOKUP(AF36,'FIFA rankings'!$B:$B,'FIFA rankings'!$D:$D)</f>
        <v>1649.4</v>
      </c>
      <c r="AI36" s="76">
        <f t="shared" si="14"/>
        <v>-194.44000000000005</v>
      </c>
      <c r="AJ36" s="75"/>
      <c r="AK36" s="77">
        <f t="shared" si="15"/>
        <v>1.1602014584233646</v>
      </c>
      <c r="AL36" s="77">
        <f t="shared" si="16"/>
        <v>1.6893617791719615</v>
      </c>
      <c r="AM36" s="75"/>
      <c r="AN36" s="78" cm="1">
        <f t="array" ref="AN36">1/SUMPRODUCT(_xlfn.POISSON.DIST(ROW($1:$8)-1,$AK36,FALSE)*_xlfn.POISSON.DIST(TRANSPOSE(ROW($1:$8)-1),$AL36,FALSE)*((ROW($1:$8)-1)&gt;(TRANSPOSE(ROW($1:$8)-1))))</f>
        <v>3.8176094632611801</v>
      </c>
      <c r="AO36" s="78" cm="1">
        <f t="array" ref="AO36">1/SUMPRODUCT(_xlfn.POISSON.DIST(ROW($1:$8)-1,$AK36,FALSE)*_xlfn.POISSON.DIST(TRANSPOSE(ROW($1:$8)-1),$AL36,FALSE)*((ROW($1:$8)-1)=(TRANSPOSE(ROW($1:$8)-1))))</f>
        <v>4.1566023506403429</v>
      </c>
      <c r="AP36" s="78" cm="1">
        <f t="array" ref="AP36">1/SUMPRODUCT(_xlfn.POISSON.DIST(ROW($1:$8)-1,$AK36,FALSE)*_xlfn.POISSON.DIST(TRANSPOSE(ROW($1:$8)-1),$AL36,FALSE)*((ROW($1:$8)-1)&lt;(TRANSPOSE(ROW($1:$8)-1))))</f>
        <v>2.0117750492136781</v>
      </c>
      <c r="AQ36" s="75"/>
      <c r="AR36" s="78"/>
      <c r="AS36" s="79">
        <f t="shared" ref="AS36:AS40" si="23">1-SUM(1/AN36,1/AO36,1/AP36)</f>
        <v>4.0139607591005433E-4</v>
      </c>
      <c r="BA36" s="80">
        <f>IF(ROUND(BC36,0)=ROUND(BC35,0),BA35,2)</f>
        <v>1</v>
      </c>
      <c r="BB36" s="80">
        <f>ROUND(BC36,0)</f>
        <v>2</v>
      </c>
      <c r="BC36" s="81">
        <f>MAX(MIN(BD35:BD37),MIN(BD35,BD36,BD38),MIN(BD35,BD37,BD38),MIN(BD36:BD38))</f>
        <v>2.46</v>
      </c>
      <c r="BD36" s="92">
        <f>SUM(BV36:BY36)+2.46</f>
        <v>2.46</v>
      </c>
      <c r="BE36" s="83" t="str">
        <f>U35</f>
        <v>Bosnia and Herzegovina</v>
      </c>
      <c r="BF36" s="51">
        <f>SUM(BJ36:BM36)</f>
        <v>0</v>
      </c>
      <c r="BG36" s="84">
        <f>T35+T38+S40</f>
        <v>0</v>
      </c>
      <c r="BH36" s="51">
        <f>S35+S38+T40</f>
        <v>0</v>
      </c>
      <c r="BI36" s="85">
        <f>BG36-BH36</f>
        <v>0</v>
      </c>
      <c r="BJ36" s="51">
        <f>IF(ISBLANK(T35),0,IF(BK35=3,0,IF(BK35=1,1,3)))</f>
        <v>0</v>
      </c>
      <c r="BK36" s="51" t="s">
        <v>71</v>
      </c>
      <c r="BL36" s="51">
        <f>IF(ISBLANK(S40),0,IF(BK37=3,0,IF(BK37=1,1,3)))</f>
        <v>0</v>
      </c>
      <c r="BM36" s="51">
        <f>IF(ISBLANK(T38),0,IF(T38&gt;S38,3,IF(T38=S38,1,0)))</f>
        <v>0</v>
      </c>
      <c r="BN36" s="84" t="b">
        <f>(10*(BI35-BI36)+BG35-BG36&lt;0)</f>
        <v>0</v>
      </c>
      <c r="BO36" s="51" t="s">
        <v>71</v>
      </c>
      <c r="BP36" s="51" t="b">
        <f>10*(BI36-BI37)+BG36-BG37&gt;0</f>
        <v>0</v>
      </c>
      <c r="BQ36" s="85" t="b">
        <f>10*(BI36-BI38)+BG36-BG38&gt;0</f>
        <v>0</v>
      </c>
      <c r="BR36" s="84">
        <f>10000*(BJ36+BL36)+(T35-S35+S40-T40)*100+(T35+S40)</f>
        <v>0</v>
      </c>
      <c r="BS36" s="51">
        <f>10000*(BJ36+BM36)+(T35-S35+T38-S38)*100+(T35+T38)</f>
        <v>0</v>
      </c>
      <c r="BT36" s="51" t="s">
        <v>71</v>
      </c>
      <c r="BU36" s="85">
        <f>10000*(BL36+BM36)+(T38-S38+S40-T40)*100+(T38+S40)</f>
        <v>0</v>
      </c>
      <c r="BV36" s="93">
        <f>-BW35</f>
        <v>0</v>
      </c>
      <c r="BW36" s="51" t="s">
        <v>71</v>
      </c>
      <c r="BX36" s="86">
        <f>IF($BF36&gt;$BF37,-0.5,IF($BF37&gt;$BF36,0.5,IF(BP36,-0.5,IF(BO37,0.5,CN36))))</f>
        <v>0</v>
      </c>
      <c r="BY36" s="87">
        <f>IF($BF36&gt;$BF38,-0.5,IF($BF38&gt;$BF36,0.5,IF(BQ36,-0.5,IF(BO38,0.5,CO36))))</f>
        <v>0</v>
      </c>
      <c r="CL36" s="84"/>
      <c r="CM36" s="51" t="s">
        <v>71</v>
      </c>
      <c r="CN36" s="51">
        <f>IF($CH35,IF(T40-S40&lt;0,-0.5,IF(S40-T40&lt;0,0.5,0)),IF($CA35,IF($BR36&gt;$BR37,-0.5,IF($BR36&lt;$BR37,0.5,0)),IF($CD35,IF($BU36&gt;$BU37,-0.5,IF($BU36&lt;$BU37,0.5,0)),0)))</f>
        <v>0</v>
      </c>
      <c r="CO36" s="85">
        <f>IF($CI35,IF(S38-T38&lt;0,-0.5,IF(T38-S38&lt;0,0.5,0)),IF($CB35,IF($BS36&gt;$BS38,-0.5,IF($BS36&lt;$BS38,0.5,0)),IF($CD35,IF($BU36&gt;$BU38,-0.5,IF($BU36&lt;$BU38,0.5,0)),0)))</f>
        <v>0</v>
      </c>
    </row>
    <row r="37" spans="1:93" ht="14.25" customHeight="1" x14ac:dyDescent="0.2">
      <c r="A37" s="49">
        <f t="shared" si="17"/>
        <v>1</v>
      </c>
      <c r="C37" s="49">
        <v>26</v>
      </c>
      <c r="D37" s="49" t="s">
        <v>84</v>
      </c>
      <c r="E37" s="49" t="s">
        <v>11</v>
      </c>
      <c r="F37" s="49" t="s">
        <v>77</v>
      </c>
      <c r="G37" s="11" t="str">
        <f t="shared" si="18"/>
        <v>Canada</v>
      </c>
      <c r="H37" s="11">
        <f t="shared" si="19"/>
        <v>2.2875623937609824</v>
      </c>
      <c r="I37" s="11"/>
      <c r="J37" s="11" t="s">
        <v>35</v>
      </c>
      <c r="K37" s="11">
        <f t="shared" si="20"/>
        <v>4.0093014433069731</v>
      </c>
      <c r="L37" s="11"/>
      <c r="M37" s="11" t="str">
        <f t="shared" si="21"/>
        <v>Qatar</v>
      </c>
      <c r="N37" s="11">
        <f t="shared" si="22"/>
        <v>3.1931227930727126</v>
      </c>
      <c r="O37" s="57"/>
      <c r="P37" s="68">
        <v>46192</v>
      </c>
      <c r="Q37" s="69">
        <v>0</v>
      </c>
      <c r="R37" s="113" t="str">
        <f>R35</f>
        <v>Canada</v>
      </c>
      <c r="S37" s="13"/>
      <c r="T37" s="13"/>
      <c r="U37" s="120" t="str">
        <f>R36</f>
        <v>Qatar</v>
      </c>
      <c r="V37" s="57"/>
      <c r="W37" s="94">
        <f>BA37</f>
        <v>1</v>
      </c>
      <c r="X37" s="57" t="str">
        <f>INDEX(BE35:BE38,MATCH(BC37,$BD35:$BD38,0))</f>
        <v>Qatar</v>
      </c>
      <c r="Y37" s="95">
        <f>INDEX(BF35:BF38,MATCH(BC37,$BD35:$BD38,0))</f>
        <v>0</v>
      </c>
      <c r="Z37" s="95">
        <f>INDEX(BG35:BG38,MATCH(BC37,$BD35:$BD38,0))</f>
        <v>0</v>
      </c>
      <c r="AA37" s="95">
        <f>INDEX(BH35:BH38,MATCH(BC37,$BD35:$BD38,0))</f>
        <v>0</v>
      </c>
      <c r="AB37" s="95">
        <f>INDEX(BI35:BI38,MATCH(BC37,$BD35:$BD38,0))</f>
        <v>0</v>
      </c>
      <c r="AC37" s="57"/>
      <c r="AD37" s="57"/>
      <c r="AE37" s="49" t="str">
        <f t="shared" si="12"/>
        <v>Canada</v>
      </c>
      <c r="AF37" s="49" t="str">
        <f t="shared" si="13"/>
        <v>Qatar</v>
      </c>
      <c r="AG37" s="75">
        <f>_xlfn.XLOOKUP(AE37,'FIFA rankings'!$B:$B,'FIFA rankings'!$D:$D)</f>
        <v>1556.48</v>
      </c>
      <c r="AH37" s="75">
        <f>_xlfn.XLOOKUP(AF37,'FIFA rankings'!$B:$B,'FIFA rankings'!$D:$D)</f>
        <v>1454.96</v>
      </c>
      <c r="AI37" s="76">
        <f t="shared" si="14"/>
        <v>101.51999999999998</v>
      </c>
      <c r="AJ37" s="75"/>
      <c r="AK37" s="77">
        <f t="shared" si="15"/>
        <v>1.5442933388399083</v>
      </c>
      <c r="AL37" s="77">
        <f t="shared" si="16"/>
        <v>1.2691889233119242</v>
      </c>
      <c r="AM37" s="75"/>
      <c r="AN37" s="78" cm="1">
        <f t="array" ref="AN37">1/SUMPRODUCT(_xlfn.POISSON.DIST(ROW($1:$8)-1,$AK37,FALSE)*_xlfn.POISSON.DIST(TRANSPOSE(ROW($1:$8)-1),$AL37,FALSE)*((ROW($1:$8)-1)&gt;(TRANSPOSE(ROW($1:$8)-1))))</f>
        <v>2.2875623937609824</v>
      </c>
      <c r="AO37" s="78" cm="1">
        <f t="array" ref="AO37">1/SUMPRODUCT(_xlfn.POISSON.DIST(ROW($1:$8)-1,$AK37,FALSE)*_xlfn.POISSON.DIST(TRANSPOSE(ROW($1:$8)-1),$AL37,FALSE)*((ROW($1:$8)-1)=(TRANSPOSE(ROW($1:$8)-1))))</f>
        <v>4.0093014433069731</v>
      </c>
      <c r="AP37" s="78" cm="1">
        <f t="array" ref="AP37">1/SUMPRODUCT(_xlfn.POISSON.DIST(ROW($1:$8)-1,$AK37,FALSE)*_xlfn.POISSON.DIST(TRANSPOSE(ROW($1:$8)-1),$AL37,FALSE)*((ROW($1:$8)-1)&lt;(TRANSPOSE(ROW($1:$8)-1))))</f>
        <v>3.1931227930727126</v>
      </c>
      <c r="AQ37" s="75"/>
      <c r="AR37" s="78"/>
      <c r="AS37" s="79">
        <f t="shared" si="23"/>
        <v>2.6039645771291919E-4</v>
      </c>
      <c r="BA37" s="80">
        <f>IF(ROUND(BC37,0)=ROUND(BC36,0),BA36,3)</f>
        <v>1</v>
      </c>
      <c r="BB37" s="80">
        <f>ROUND(BC37,0)</f>
        <v>2</v>
      </c>
      <c r="BC37" s="81">
        <f>MIN(MAX(BD35:BD37),MAX(BD35,BD36,BD38),MAX(BD35,BD37,BD38),MAX(BD36:BD38))</f>
        <v>2.4700000000000002</v>
      </c>
      <c r="BD37" s="92">
        <f>SUM(BV37:BY37)+2.47</f>
        <v>2.4700000000000002</v>
      </c>
      <c r="BE37" s="83" t="str">
        <f>R36</f>
        <v>Qatar</v>
      </c>
      <c r="BF37" s="51">
        <f>SUM(BJ37:BM37)</f>
        <v>0</v>
      </c>
      <c r="BG37" s="84">
        <f>S36+T37+T40</f>
        <v>0</v>
      </c>
      <c r="BH37" s="51">
        <f>T36+S37+S40</f>
        <v>0</v>
      </c>
      <c r="BI37" s="85">
        <f>BG37-BH37</f>
        <v>0</v>
      </c>
      <c r="BJ37" s="51">
        <f>IF(ISBLANK(T37),0,IF(BL35=3,0,IF(BL35=1,1,3)))</f>
        <v>0</v>
      </c>
      <c r="BK37" s="51">
        <f>IF(ISBLANK(T40),0,IF(T40&gt;S40,3,IF(T40=S40,1,0)))</f>
        <v>0</v>
      </c>
      <c r="BL37" s="51" t="s">
        <v>71</v>
      </c>
      <c r="BM37" s="51">
        <f>IF(ISBLANK(S36),0,IF(S36&gt;T36,3,IF(S36=T36,1,0)))</f>
        <v>0</v>
      </c>
      <c r="BN37" s="84" t="b">
        <f>10*(BI35-BI37)+BG35-BG37&lt;0</f>
        <v>0</v>
      </c>
      <c r="BO37" s="51" t="b">
        <f>10*(BI36-BI37)+BG36-BG37&lt;0</f>
        <v>0</v>
      </c>
      <c r="BP37" s="51" t="s">
        <v>71</v>
      </c>
      <c r="BQ37" s="85" t="b">
        <f>10*(BI37-BI38)+BG37-BG38&gt;0</f>
        <v>0</v>
      </c>
      <c r="BR37" s="84">
        <f>10000*(BJ37+BK37)+(T37-S37+T40-S40)*100+(T37+T40)</f>
        <v>0</v>
      </c>
      <c r="BS37" s="51" t="s">
        <v>71</v>
      </c>
      <c r="BT37" s="51">
        <f>10000*(BJ37+BM37)+(S36-T36+T37-S37)*100+(S36+T37)</f>
        <v>0</v>
      </c>
      <c r="BU37" s="85">
        <f>10000*(BK37+BM37)+(S36-T36+T40-S40)*100+(S36+T40)</f>
        <v>0</v>
      </c>
      <c r="BV37" s="93">
        <f>-BX35</f>
        <v>0</v>
      </c>
      <c r="BW37" s="86">
        <f>-BX36</f>
        <v>0</v>
      </c>
      <c r="BX37" s="86" t="s">
        <v>71</v>
      </c>
      <c r="BY37" s="87">
        <f>IF($BF37&gt;$BF38,-0.5,IF($BF38&gt;$BF37,0.5,IF(BQ37,-0.5,IF(BP38,0.5,CO37))))</f>
        <v>0</v>
      </c>
      <c r="CL37" s="84"/>
      <c r="CM37" s="51"/>
      <c r="CN37" s="51" t="s">
        <v>71</v>
      </c>
      <c r="CO37" s="85">
        <f>IF($CJ35,IF(T36-S36&lt;0,-0.5,IF(S36-T36&lt;0,0.5,0)),IF($CC35,IF($BT37&gt;$BT38,-0.5,IF($BT37&lt;$BT38,0.5,0)),IF($CD35,IF($BU37&gt;$BU38,-0.5,IF($BU37&lt;$BU38,0.5,0)),0)))</f>
        <v>0</v>
      </c>
    </row>
    <row r="38" spans="1:93" ht="14.25" customHeight="1" x14ac:dyDescent="0.2">
      <c r="A38" s="49">
        <f t="shared" si="17"/>
        <v>1</v>
      </c>
      <c r="C38" s="49">
        <v>27</v>
      </c>
      <c r="D38" s="49" t="s">
        <v>85</v>
      </c>
      <c r="E38" s="49" t="s">
        <v>11</v>
      </c>
      <c r="F38" s="49" t="s">
        <v>77</v>
      </c>
      <c r="G38" s="11" t="str">
        <f t="shared" si="18"/>
        <v>Switzerland</v>
      </c>
      <c r="H38" s="11">
        <f t="shared" si="19"/>
        <v>1.8453535270923729</v>
      </c>
      <c r="I38" s="11"/>
      <c r="J38" s="11" t="s">
        <v>35</v>
      </c>
      <c r="K38" s="11">
        <f t="shared" si="20"/>
        <v>4.3337069938419068</v>
      </c>
      <c r="L38" s="11"/>
      <c r="M38" s="11" t="str">
        <f t="shared" si="21"/>
        <v>Bosnia and Herzegovina</v>
      </c>
      <c r="N38" s="11">
        <f t="shared" si="22"/>
        <v>4.4100066730084651</v>
      </c>
      <c r="O38" s="57"/>
      <c r="P38" s="89">
        <v>46191</v>
      </c>
      <c r="Q38" s="90">
        <v>0.875</v>
      </c>
      <c r="R38" s="116" t="str">
        <f>U36</f>
        <v>Switzerland</v>
      </c>
      <c r="S38" s="13"/>
      <c r="T38" s="13"/>
      <c r="U38" s="121" t="str">
        <f>U35</f>
        <v>Bosnia and Herzegovina</v>
      </c>
      <c r="V38" s="57"/>
      <c r="W38" s="94">
        <f>BA38</f>
        <v>1</v>
      </c>
      <c r="X38" s="57" t="str">
        <f>INDEX(BE35:BE38,MATCH(BC38,$BD35:$BD38,0))</f>
        <v>Switzerland</v>
      </c>
      <c r="Y38" s="95">
        <f>INDEX(BF35:BF38,MATCH(BC38,$BD35:$BD38,0))</f>
        <v>0</v>
      </c>
      <c r="Z38" s="95">
        <f>INDEX(BG35:BG38,MATCH(BC38,$BD35:$BD38,0))</f>
        <v>0</v>
      </c>
      <c r="AA38" s="95">
        <f>INDEX(BH35:BH38,MATCH(BC38,$BD35:$BD38,0))</f>
        <v>0</v>
      </c>
      <c r="AB38" s="95">
        <f>INDEX(BI35:BI38,MATCH(BC38,$BD35:$BD38,0))</f>
        <v>0</v>
      </c>
      <c r="AC38" s="57"/>
      <c r="AD38" s="57"/>
      <c r="AE38" s="49" t="str">
        <f t="shared" si="12"/>
        <v>Switzerland</v>
      </c>
      <c r="AF38" s="49" t="str">
        <f t="shared" si="13"/>
        <v>Bosnia and Herzegovina</v>
      </c>
      <c r="AG38" s="75">
        <f>_xlfn.XLOOKUP(AE38,'FIFA rankings'!$B:$B,'FIFA rankings'!$D:$D)</f>
        <v>1649.4</v>
      </c>
      <c r="AH38" s="75">
        <f>_xlfn.XLOOKUP(AF38,'FIFA rankings'!$B:$B,'FIFA rankings'!$D:$D)</f>
        <v>1385.84</v>
      </c>
      <c r="AI38" s="76">
        <f t="shared" si="14"/>
        <v>263.56000000000017</v>
      </c>
      <c r="AJ38" s="75"/>
      <c r="AK38" s="77">
        <f t="shared" si="15"/>
        <v>1.8060431389247078</v>
      </c>
      <c r="AL38" s="77">
        <f t="shared" si="16"/>
        <v>1.0852453951719865</v>
      </c>
      <c r="AM38" s="75"/>
      <c r="AN38" s="78" cm="1">
        <f t="array" ref="AN38">1/SUMPRODUCT(_xlfn.POISSON.DIST(ROW($1:$8)-1,$AK38,FALSE)*_xlfn.POISSON.DIST(TRANSPOSE(ROW($1:$8)-1),$AL38,FALSE)*((ROW($1:$8)-1)&gt;(TRANSPOSE(ROW($1:$8)-1))))</f>
        <v>1.8453535270923729</v>
      </c>
      <c r="AO38" s="78" cm="1">
        <f t="array" ref="AO38">1/SUMPRODUCT(_xlfn.POISSON.DIST(ROW($1:$8)-1,$AK38,FALSE)*_xlfn.POISSON.DIST(TRANSPOSE(ROW($1:$8)-1),$AL38,FALSE)*((ROW($1:$8)-1)=(TRANSPOSE(ROW($1:$8)-1))))</f>
        <v>4.3337069938419068</v>
      </c>
      <c r="AP38" s="78" cm="1">
        <f t="array" ref="AP38">1/SUMPRODUCT(_xlfn.POISSON.DIST(ROW($1:$8)-1,$AK38,FALSE)*_xlfn.POISSON.DIST(TRANSPOSE(ROW($1:$8)-1),$AL38,FALSE)*((ROW($1:$8)-1)&lt;(TRANSPOSE(ROW($1:$8)-1))))</f>
        <v>4.4100066730084651</v>
      </c>
      <c r="AQ38" s="75"/>
      <c r="AR38" s="78"/>
      <c r="AS38" s="79">
        <f t="shared" si="23"/>
        <v>5.9205575845533431E-4</v>
      </c>
      <c r="BA38" s="80">
        <f>IF(ROUND(BC38,0)=ROUND(BC37,0),BA37,4)</f>
        <v>1</v>
      </c>
      <c r="BB38" s="80">
        <f>ROUND(BC38,0)</f>
        <v>2</v>
      </c>
      <c r="BC38" s="81">
        <f>MAX(BD35:BD38)</f>
        <v>2.48</v>
      </c>
      <c r="BD38" s="96">
        <f>SUM(BV38:BY38)+2.48</f>
        <v>2.48</v>
      </c>
      <c r="BE38" s="97" t="str">
        <f>U36</f>
        <v>Switzerland</v>
      </c>
      <c r="BF38" s="88">
        <f>SUM(BJ38:BM38)</f>
        <v>0</v>
      </c>
      <c r="BG38" s="98">
        <f>T36+S38+S39</f>
        <v>0</v>
      </c>
      <c r="BH38" s="88">
        <f>S36+T38+T39</f>
        <v>0</v>
      </c>
      <c r="BI38" s="99">
        <f>BG38-BH38</f>
        <v>0</v>
      </c>
      <c r="BJ38" s="88">
        <f>IF(ISBLANK(S39),0,IF(BM35=3,0,IF(BM35=1,1,3)))</f>
        <v>0</v>
      </c>
      <c r="BK38" s="88">
        <f>IF(ISBLANK(S38),0,IF(BM36=3,0,IF(BM36=1,1,3)))</f>
        <v>0</v>
      </c>
      <c r="BL38" s="88">
        <f>IF(ISBLANK(T36),0,IF(BM37=3,0,IF(BM37=1,1,3)))</f>
        <v>0</v>
      </c>
      <c r="BM38" s="88" t="s">
        <v>71</v>
      </c>
      <c r="BN38" s="98" t="b">
        <f>10*(BI35-BI38)+BG35-BG38&lt;0</f>
        <v>0</v>
      </c>
      <c r="BO38" s="88" t="b">
        <f>10*(BI36-BI38)+BG36-BG38&lt;0</f>
        <v>0</v>
      </c>
      <c r="BP38" s="88" t="b">
        <f>10*(BI37-BI38)+BG37-BG38&lt;0</f>
        <v>0</v>
      </c>
      <c r="BQ38" s="99" t="s">
        <v>71</v>
      </c>
      <c r="BR38" s="98" t="s">
        <v>71</v>
      </c>
      <c r="BS38" s="88">
        <f>10000*(BJ38+BK38)+(S38-T38+S39-T39)*100+(S38+S39)</f>
        <v>0</v>
      </c>
      <c r="BT38" s="88">
        <f>10000*(BJ38+BL38)+(S39-T39+T36-S36)*100+(S39+T36)</f>
        <v>0</v>
      </c>
      <c r="BU38" s="99">
        <f>10000*(BK38+BL38)+(S38-T38+T36-S36)*100+(S38+T36)</f>
        <v>0</v>
      </c>
      <c r="BV38" s="100">
        <f>-BY35</f>
        <v>0</v>
      </c>
      <c r="BW38" s="101">
        <f>-BY36</f>
        <v>0</v>
      </c>
      <c r="BX38" s="101">
        <f>-BY37</f>
        <v>0</v>
      </c>
      <c r="BY38" s="99" t="s">
        <v>71</v>
      </c>
      <c r="CL38" s="98"/>
      <c r="CM38" s="88"/>
      <c r="CN38" s="88"/>
      <c r="CO38" s="99" t="s">
        <v>71</v>
      </c>
    </row>
    <row r="39" spans="1:93" ht="14.25" customHeight="1" x14ac:dyDescent="0.2">
      <c r="A39" s="49">
        <f t="shared" si="17"/>
        <v>1</v>
      </c>
      <c r="C39" s="49">
        <v>51</v>
      </c>
      <c r="E39" s="49" t="s">
        <v>11</v>
      </c>
      <c r="F39" s="49" t="s">
        <v>77</v>
      </c>
      <c r="G39" s="11" t="str">
        <f t="shared" si="18"/>
        <v>Switzerland</v>
      </c>
      <c r="H39" s="11">
        <f t="shared" si="19"/>
        <v>2.3166380845027486</v>
      </c>
      <c r="I39" s="11"/>
      <c r="J39" s="11" t="s">
        <v>35</v>
      </c>
      <c r="K39" s="11">
        <f t="shared" si="20"/>
        <v>4.0005348941537546</v>
      </c>
      <c r="L39" s="11"/>
      <c r="M39" s="11" t="str">
        <f t="shared" si="21"/>
        <v>Canada</v>
      </c>
      <c r="N39" s="11">
        <f t="shared" si="22"/>
        <v>3.1434589450947152</v>
      </c>
      <c r="O39" s="57"/>
      <c r="P39" s="68">
        <v>46197</v>
      </c>
      <c r="Q39" s="69">
        <v>0.875</v>
      </c>
      <c r="R39" s="113" t="str">
        <f>U36</f>
        <v>Switzerland</v>
      </c>
      <c r="S39" s="13"/>
      <c r="T39" s="13"/>
      <c r="U39" s="120" t="str">
        <f>R35</f>
        <v>Canada</v>
      </c>
      <c r="V39" s="57"/>
      <c r="W39" s="102"/>
      <c r="X39" s="103" t="str">
        <f>IF(OR(W37&lt;3,W36&lt;2),"TIRAGE AU SORT !!!"," ")</f>
        <v>TIRAGE AU SORT !!!</v>
      </c>
      <c r="Y39" s="102"/>
      <c r="Z39" s="102"/>
      <c r="AA39" s="102"/>
      <c r="AB39" s="102"/>
      <c r="AC39" s="57"/>
      <c r="AD39" s="57"/>
      <c r="AE39" s="49" t="str">
        <f t="shared" si="12"/>
        <v>Switzerland</v>
      </c>
      <c r="AF39" s="49" t="str">
        <f t="shared" si="13"/>
        <v>Canada</v>
      </c>
      <c r="AG39" s="75">
        <f>_xlfn.XLOOKUP(AE39,'FIFA rankings'!$B:$B,'FIFA rankings'!$D:$D)</f>
        <v>1649.4</v>
      </c>
      <c r="AH39" s="75">
        <f>_xlfn.XLOOKUP(AF39,'FIFA rankings'!$B:$B,'FIFA rankings'!$D:$D)</f>
        <v>1556.48</v>
      </c>
      <c r="AI39" s="76">
        <f t="shared" si="14"/>
        <v>92.920000000000073</v>
      </c>
      <c r="AJ39" s="75"/>
      <c r="AK39" s="77">
        <f t="shared" si="15"/>
        <v>1.5315137554225562</v>
      </c>
      <c r="AL39" s="77">
        <f t="shared" si="16"/>
        <v>1.2797795599682493</v>
      </c>
      <c r="AM39" s="75"/>
      <c r="AN39" s="78" cm="1">
        <f t="array" ref="AN39">1/SUMPRODUCT(_xlfn.POISSON.DIST(ROW($1:$8)-1,$AK39,FALSE)*_xlfn.POISSON.DIST(TRANSPOSE(ROW($1:$8)-1),$AL39,FALSE)*((ROW($1:$8)-1)&gt;(TRANSPOSE(ROW($1:$8)-1))))</f>
        <v>2.3166380845027486</v>
      </c>
      <c r="AO39" s="78" cm="1">
        <f t="array" ref="AO39">1/SUMPRODUCT(_xlfn.POISSON.DIST(ROW($1:$8)-1,$AK39,FALSE)*_xlfn.POISSON.DIST(TRANSPOSE(ROW($1:$8)-1),$AL39,FALSE)*((ROW($1:$8)-1)=(TRANSPOSE(ROW($1:$8)-1))))</f>
        <v>4.0005348941537546</v>
      </c>
      <c r="AP39" s="78" cm="1">
        <f t="array" ref="AP39">1/SUMPRODUCT(_xlfn.POISSON.DIST(ROW($1:$8)-1,$AK39,FALSE)*_xlfn.POISSON.DIST(TRANSPOSE(ROW($1:$8)-1),$AL39,FALSE)*((ROW($1:$8)-1)&lt;(TRANSPOSE(ROW($1:$8)-1))))</f>
        <v>3.1434589450947152</v>
      </c>
      <c r="AQ39" s="75"/>
      <c r="AR39" s="78"/>
      <c r="AS39" s="79">
        <f t="shared" si="23"/>
        <v>2.5252091030103507E-4</v>
      </c>
    </row>
    <row r="40" spans="1:93" ht="14.25" customHeight="1" x14ac:dyDescent="0.25">
      <c r="A40" s="49">
        <f t="shared" si="17"/>
        <v>1</v>
      </c>
      <c r="C40" s="49">
        <v>52</v>
      </c>
      <c r="E40" s="49" t="s">
        <v>11</v>
      </c>
      <c r="F40" s="49" t="s">
        <v>77</v>
      </c>
      <c r="G40" s="11" t="str">
        <f t="shared" si="18"/>
        <v>Bosnia and Herzegovina</v>
      </c>
      <c r="H40" s="11">
        <f t="shared" si="19"/>
        <v>3.0122291695003036</v>
      </c>
      <c r="I40" s="11"/>
      <c r="J40" s="11" t="s">
        <v>35</v>
      </c>
      <c r="K40" s="11">
        <f t="shared" si="20"/>
        <v>3.9803982838160104</v>
      </c>
      <c r="L40" s="11"/>
      <c r="M40" s="11" t="str">
        <f t="shared" si="21"/>
        <v>Qatar</v>
      </c>
      <c r="N40" s="11">
        <f t="shared" si="22"/>
        <v>2.4006482526528869</v>
      </c>
      <c r="O40" s="57"/>
      <c r="P40" s="89">
        <v>46197</v>
      </c>
      <c r="Q40" s="90">
        <v>0.875</v>
      </c>
      <c r="R40" s="122" t="str">
        <f>U35</f>
        <v>Bosnia and Herzegovina</v>
      </c>
      <c r="S40" s="13"/>
      <c r="T40" s="13"/>
      <c r="U40" s="119" t="str">
        <f>R36</f>
        <v>Qatar</v>
      </c>
      <c r="V40" s="57"/>
      <c r="W40" s="95"/>
      <c r="X40" s="57"/>
      <c r="Y40" s="95"/>
      <c r="Z40" s="95"/>
      <c r="AA40" s="95"/>
      <c r="AB40" s="95"/>
      <c r="AC40" s="57"/>
      <c r="AD40" s="57"/>
      <c r="AE40" s="49" t="str">
        <f t="shared" si="12"/>
        <v>Bosnia and Herzegovina</v>
      </c>
      <c r="AF40" s="49" t="str">
        <f t="shared" si="13"/>
        <v>Qatar</v>
      </c>
      <c r="AG40" s="75">
        <f>_xlfn.XLOOKUP(AE40,'FIFA rankings'!$B:$B,'FIFA rankings'!$D:$D)</f>
        <v>1385.84</v>
      </c>
      <c r="AH40" s="75">
        <f>_xlfn.XLOOKUP(AF40,'FIFA rankings'!$B:$B,'FIFA rankings'!$D:$D)</f>
        <v>1454.96</v>
      </c>
      <c r="AI40" s="76">
        <f t="shared" si="14"/>
        <v>-69.120000000000118</v>
      </c>
      <c r="AJ40" s="75"/>
      <c r="AK40" s="77">
        <f t="shared" si="15"/>
        <v>1.3095514940185184</v>
      </c>
      <c r="AL40" s="77">
        <f t="shared" si="16"/>
        <v>1.4966956312542554</v>
      </c>
      <c r="AM40" s="75"/>
      <c r="AN40" s="78" cm="1">
        <f t="array" ref="AN40">1/SUMPRODUCT(_xlfn.POISSON.DIST(ROW($1:$8)-1,$AK40,FALSE)*_xlfn.POISSON.DIST(TRANSPOSE(ROW($1:$8)-1),$AL40,FALSE)*((ROW($1:$8)-1)&gt;(TRANSPOSE(ROW($1:$8)-1))))</f>
        <v>3.0122291695003036</v>
      </c>
      <c r="AO40" s="78" cm="1">
        <f t="array" ref="AO40">1/SUMPRODUCT(_xlfn.POISSON.DIST(ROW($1:$8)-1,$AK40,FALSE)*_xlfn.POISSON.DIST(TRANSPOSE(ROW($1:$8)-1),$AL40,FALSE)*((ROW($1:$8)-1)=(TRANSPOSE(ROW($1:$8)-1))))</f>
        <v>3.9803982838160104</v>
      </c>
      <c r="AP40" s="78" cm="1">
        <f t="array" ref="AP40">1/SUMPRODUCT(_xlfn.POISSON.DIST(ROW($1:$8)-1,$AK40,FALSE)*_xlfn.POISSON.DIST(TRANSPOSE(ROW($1:$8)-1),$AL40,FALSE)*((ROW($1:$8)-1)&lt;(TRANSPOSE(ROW($1:$8)-1))))</f>
        <v>2.4006482526528869</v>
      </c>
      <c r="AQ40" s="75"/>
      <c r="AR40" s="78"/>
      <c r="AS40" s="79">
        <f t="shared" si="23"/>
        <v>2.3465320914795029E-4</v>
      </c>
      <c r="AZ40" s="118"/>
    </row>
    <row r="41" spans="1:93" ht="14.25" customHeight="1" x14ac:dyDescent="0.2">
      <c r="F41" s="49"/>
      <c r="G41" s="11"/>
      <c r="H41" s="11"/>
      <c r="I41" s="11"/>
      <c r="J41" s="11"/>
      <c r="K41" s="11"/>
      <c r="L41" s="11"/>
      <c r="M41" s="11"/>
      <c r="N41" s="11"/>
      <c r="O41" s="57"/>
      <c r="P41" s="105"/>
      <c r="Q41" s="106"/>
      <c r="R41" s="57"/>
      <c r="S41" s="57"/>
      <c r="T41" s="57"/>
      <c r="U41" s="57"/>
      <c r="V41" s="57"/>
      <c r="W41" s="95"/>
      <c r="X41" s="57"/>
      <c r="Y41" s="95"/>
      <c r="Z41" s="95"/>
      <c r="AA41" s="95"/>
      <c r="AB41" s="95"/>
      <c r="AC41" s="57"/>
      <c r="AD41" s="57"/>
      <c r="AN41" s="57"/>
      <c r="AR41" s="123"/>
      <c r="AS41" s="123"/>
      <c r="AT41" s="123"/>
      <c r="AU41" s="123"/>
      <c r="AV41" s="123"/>
      <c r="AW41" s="123"/>
      <c r="AX41" s="123"/>
    </row>
    <row r="42" spans="1:93" ht="14.25" customHeight="1" x14ac:dyDescent="0.2">
      <c r="F42" s="49" t="s">
        <v>86</v>
      </c>
      <c r="G42" s="124" t="str">
        <f>$F42 &amp; " / Odds"</f>
        <v>Group C / Odds</v>
      </c>
      <c r="H42" s="124"/>
      <c r="I42" s="124"/>
      <c r="J42" s="124"/>
      <c r="K42" s="124"/>
      <c r="L42" s="124"/>
      <c r="M42" s="124"/>
      <c r="N42" s="124"/>
      <c r="O42" s="57"/>
      <c r="P42" s="124" t="str">
        <f>$F42 &amp; " / Results"</f>
        <v>Group C / Results</v>
      </c>
      <c r="Q42" s="125"/>
      <c r="R42" s="126"/>
      <c r="S42" s="126"/>
      <c r="T42" s="126"/>
      <c r="U42" s="126"/>
      <c r="V42" s="57"/>
      <c r="W42" s="127"/>
      <c r="X42" s="128" t="str">
        <f>X34</f>
        <v>Ranking</v>
      </c>
      <c r="Y42" s="129" t="s">
        <v>24</v>
      </c>
      <c r="Z42" s="129" t="s">
        <v>25</v>
      </c>
      <c r="AA42" s="129" t="s">
        <v>26</v>
      </c>
      <c r="AB42" s="129" t="str">
        <f>"+/-"</f>
        <v>+/-</v>
      </c>
      <c r="AC42" s="57"/>
      <c r="AD42" s="57"/>
      <c r="AN42" s="57"/>
      <c r="AR42" s="123"/>
      <c r="AS42" s="123"/>
      <c r="AT42" s="123"/>
      <c r="AU42" s="123"/>
      <c r="AV42" s="123"/>
      <c r="AW42" s="123"/>
      <c r="AX42" s="123"/>
      <c r="BD42" s="63" t="s">
        <v>37</v>
      </c>
      <c r="BE42" s="64" t="s">
        <v>38</v>
      </c>
      <c r="BF42" s="65" t="s">
        <v>24</v>
      </c>
      <c r="BG42" s="66" t="s">
        <v>25</v>
      </c>
      <c r="BH42" s="65" t="s">
        <v>26</v>
      </c>
      <c r="BI42" s="67" t="s">
        <v>39</v>
      </c>
      <c r="BJ42" s="65" t="s">
        <v>40</v>
      </c>
      <c r="BK42" s="65" t="s">
        <v>41</v>
      </c>
      <c r="BL42" s="65" t="s">
        <v>42</v>
      </c>
      <c r="BM42" s="65" t="s">
        <v>43</v>
      </c>
      <c r="BN42" s="66" t="s">
        <v>44</v>
      </c>
      <c r="BO42" s="65" t="s">
        <v>45</v>
      </c>
      <c r="BP42" s="65" t="s">
        <v>46</v>
      </c>
      <c r="BQ42" s="67" t="s">
        <v>47</v>
      </c>
      <c r="BR42" s="66" t="s">
        <v>48</v>
      </c>
      <c r="BS42" s="65" t="s">
        <v>49</v>
      </c>
      <c r="BT42" s="65" t="s">
        <v>50</v>
      </c>
      <c r="BU42" s="67" t="s">
        <v>51</v>
      </c>
      <c r="BV42" s="66" t="s">
        <v>52</v>
      </c>
      <c r="BW42" s="65" t="s">
        <v>53</v>
      </c>
      <c r="BX42" s="65" t="s">
        <v>54</v>
      </c>
      <c r="BY42" s="67" t="s">
        <v>55</v>
      </c>
      <c r="BZ42" s="66" t="s">
        <v>56</v>
      </c>
      <c r="CA42" s="65" t="s">
        <v>48</v>
      </c>
      <c r="CB42" s="65" t="s">
        <v>49</v>
      </c>
      <c r="CC42" s="65" t="s">
        <v>50</v>
      </c>
      <c r="CD42" s="65" t="s">
        <v>51</v>
      </c>
      <c r="CE42" s="65" t="s">
        <v>57</v>
      </c>
      <c r="CF42" s="65" t="s">
        <v>58</v>
      </c>
      <c r="CG42" s="65" t="s">
        <v>59</v>
      </c>
      <c r="CH42" s="65" t="s">
        <v>60</v>
      </c>
      <c r="CI42" s="65" t="s">
        <v>61</v>
      </c>
      <c r="CJ42" s="65" t="s">
        <v>62</v>
      </c>
      <c r="CK42" s="65" t="s">
        <v>63</v>
      </c>
      <c r="CL42" s="66" t="s">
        <v>64</v>
      </c>
      <c r="CM42" s="65" t="s">
        <v>65</v>
      </c>
      <c r="CN42" s="65" t="s">
        <v>66</v>
      </c>
      <c r="CO42" s="67" t="s">
        <v>67</v>
      </c>
    </row>
    <row r="43" spans="1:93" ht="14.25" customHeight="1" x14ac:dyDescent="0.2">
      <c r="A43" s="49">
        <f>IF(OR(ISBLANK(S43),ISBLANK(T43)),1,0)</f>
        <v>1</v>
      </c>
      <c r="C43" s="49">
        <v>5</v>
      </c>
      <c r="D43" s="49" t="s">
        <v>87</v>
      </c>
      <c r="E43" s="49" t="s">
        <v>11</v>
      </c>
      <c r="F43" s="49" t="s">
        <v>86</v>
      </c>
      <c r="G43" s="11" t="str">
        <f>R43</f>
        <v>Brazil</v>
      </c>
      <c r="H43" s="11">
        <f>AN43</f>
        <v>2.654370744868928</v>
      </c>
      <c r="I43" s="11"/>
      <c r="J43" s="11" t="s">
        <v>35</v>
      </c>
      <c r="K43" s="11">
        <f>AO43</f>
        <v>3.9557544384285181</v>
      </c>
      <c r="L43" s="11"/>
      <c r="M43" s="11" t="str">
        <f>U43</f>
        <v>Morocco</v>
      </c>
      <c r="N43" s="11">
        <f>AP43</f>
        <v>2.70085306625209</v>
      </c>
      <c r="O43" s="57"/>
      <c r="P43" s="68">
        <v>46187</v>
      </c>
      <c r="Q43" s="69">
        <v>0</v>
      </c>
      <c r="R43" s="130" t="s">
        <v>88</v>
      </c>
      <c r="S43" s="14"/>
      <c r="T43" s="14"/>
      <c r="U43" s="131" t="s">
        <v>89</v>
      </c>
      <c r="V43" s="57"/>
      <c r="W43" s="132">
        <f>BA43</f>
        <v>1</v>
      </c>
      <c r="X43" s="133" t="str">
        <f>INDEX(BE43:BE46,MATCH(BC43,$BD43:$BD46,0))</f>
        <v>Brazil</v>
      </c>
      <c r="Y43" s="134">
        <f>INDEX(BF43:BF46,MATCH(BC43,$BD43:$BD46,0))</f>
        <v>0</v>
      </c>
      <c r="Z43" s="134">
        <f>INDEX(BG43:BG46,MATCH(BC43,$BD43:$BD46,0))</f>
        <v>0</v>
      </c>
      <c r="AA43" s="134">
        <f>INDEX(BH43:BH46,MATCH(BC43,$BD43:$BD46,0))</f>
        <v>0</v>
      </c>
      <c r="AB43" s="134">
        <f>INDEX(BI43:BI46,MATCH(BC43,$BD43:$BD46,0))</f>
        <v>0</v>
      </c>
      <c r="AC43" s="57"/>
      <c r="AD43" s="57"/>
      <c r="AE43" s="49" t="str">
        <f t="shared" ref="AE43:AE48" si="24">R43</f>
        <v>Brazil</v>
      </c>
      <c r="AF43" s="49" t="str">
        <f t="shared" ref="AF43:AF48" si="25">U43</f>
        <v>Morocco</v>
      </c>
      <c r="AG43" s="75">
        <f>_xlfn.XLOOKUP(AE43,'FIFA rankings'!$B:$B,'FIFA rankings'!$D:$D)</f>
        <v>1761.16</v>
      </c>
      <c r="AH43" s="75">
        <f>_xlfn.XLOOKUP(AF43,'FIFA rankings'!$B:$B,'FIFA rankings'!$D:$D)</f>
        <v>1755.87</v>
      </c>
      <c r="AI43" s="76">
        <f t="shared" ref="AI43:AI48" si="26">IFERROR(AG43-AH43,"n.a.")</f>
        <v>5.290000000000191</v>
      </c>
      <c r="AJ43" s="75"/>
      <c r="AK43" s="77">
        <f t="shared" ref="AK43:AK48" si="27">IFERROR($AI$7*POWER(10,$AI43/$AI$6),"n.a.")</f>
        <v>1.4071744030680955</v>
      </c>
      <c r="AL43" s="77">
        <f t="shared" ref="AL43:AL48" si="28">IFERROR($AI$7*POWER(10,-$AI43/$AI$6),"n.a.")</f>
        <v>1.3928621752403723</v>
      </c>
      <c r="AM43" s="75"/>
      <c r="AN43" s="78" cm="1">
        <f t="array" ref="AN43">1/SUMPRODUCT(_xlfn.POISSON.DIST(ROW($1:$8)-1,$AK43,FALSE)*_xlfn.POISSON.DIST(TRANSPOSE(ROW($1:$8)-1),$AL43,FALSE)*((ROW($1:$8)-1)&gt;(TRANSPOSE(ROW($1:$8)-1))))</f>
        <v>2.654370744868928</v>
      </c>
      <c r="AO43" s="78" cm="1">
        <f t="array" ref="AO43">1/SUMPRODUCT(_xlfn.POISSON.DIST(ROW($1:$8)-1,$AK43,FALSE)*_xlfn.POISSON.DIST(TRANSPOSE(ROW($1:$8)-1),$AL43,FALSE)*((ROW($1:$8)-1)=(TRANSPOSE(ROW($1:$8)-1))))</f>
        <v>3.9557544384285181</v>
      </c>
      <c r="AP43" s="78" cm="1">
        <f t="array" ref="AP43">1/SUMPRODUCT(_xlfn.POISSON.DIST(ROW($1:$8)-1,$AK43,FALSE)*_xlfn.POISSON.DIST(TRANSPOSE(ROW($1:$8)-1),$AL43,FALSE)*((ROW($1:$8)-1)&lt;(TRANSPOSE(ROW($1:$8)-1))))</f>
        <v>2.70085306625209</v>
      </c>
      <c r="AQ43" s="75"/>
      <c r="AR43" s="78"/>
      <c r="AS43" s="79">
        <f>1-SUM(1/AN43,1/AO43,1/AP43)</f>
        <v>2.1320920521605835E-4</v>
      </c>
      <c r="AT43" s="123"/>
      <c r="AU43" s="123"/>
      <c r="AV43" s="123"/>
      <c r="AW43" s="123"/>
      <c r="AX43" s="123"/>
      <c r="BA43" s="80">
        <v>1</v>
      </c>
      <c r="BB43" s="80">
        <f>ROUND(BC43,0)</f>
        <v>2</v>
      </c>
      <c r="BC43" s="81">
        <f>MIN(BD43:BD46)</f>
        <v>2.4500000000000002</v>
      </c>
      <c r="BD43" s="82">
        <f>SUM(BV43:BY43)+2.45</f>
        <v>2.4500000000000002</v>
      </c>
      <c r="BE43" s="83" t="str">
        <f>R43</f>
        <v>Brazil</v>
      </c>
      <c r="BF43" s="51">
        <f>SUM(BJ43:BM43)</f>
        <v>0</v>
      </c>
      <c r="BG43" s="84">
        <f>S43+S45+T47</f>
        <v>0</v>
      </c>
      <c r="BH43" s="51">
        <f>T43+T45+S47</f>
        <v>0</v>
      </c>
      <c r="BI43" s="85">
        <f>BG43-BH43</f>
        <v>0</v>
      </c>
      <c r="BJ43" s="51" t="s">
        <v>71</v>
      </c>
      <c r="BK43" s="51">
        <f>IF(ISBLANK(S43),0,IF(S43&gt;T43,3,IF(S43=T43,1,0)))</f>
        <v>0</v>
      </c>
      <c r="BL43" s="51">
        <f>IF(ISBLANK(S45),0,IF(S45&gt;T45,3,IF(S45=T45,1,0)))</f>
        <v>0</v>
      </c>
      <c r="BM43" s="51">
        <f>IF(ISBLANK(T47),0,IF(T47&gt;S47,3,IF(T47=S47,1,0)))</f>
        <v>0</v>
      </c>
      <c r="BN43" s="84" t="s">
        <v>71</v>
      </c>
      <c r="BO43" s="51" t="b">
        <f>(10*(BI43-BI44)+BG43-BG44&gt;0)</f>
        <v>0</v>
      </c>
      <c r="BP43" s="51" t="b">
        <f>10*(BI43-BI45)+BG43-BG45&gt;0</f>
        <v>0</v>
      </c>
      <c r="BQ43" s="85" t="b">
        <f>10*(BI43-BI46)+BG43-BG46&gt;0</f>
        <v>0</v>
      </c>
      <c r="BR43" s="84">
        <f>10000*(BK43+BL43)+(S45-T45+S43-T43)*100+(S45+S43)</f>
        <v>0</v>
      </c>
      <c r="BS43" s="51">
        <f>10000*(BK43+BM43)+(S43-T43+T47-S47)*100+(S43+T47)</f>
        <v>0</v>
      </c>
      <c r="BT43" s="51">
        <f>10000*(BL43+BM43)+(T47-S47+S45-T45)*100+(T47+S45)</f>
        <v>0</v>
      </c>
      <c r="BU43" s="85" t="s">
        <v>71</v>
      </c>
      <c r="BV43" s="84" t="s">
        <v>71</v>
      </c>
      <c r="BW43" s="86">
        <f>IF($BF43&gt;$BF44,-0.5,IF($BF44&gt;$BF43,0.5,IF(BO43,-0.5,IF(BN44,0.5,CM43))))</f>
        <v>0</v>
      </c>
      <c r="BX43" s="86">
        <f>IF($BF43&gt;$BF45,-0.5,IF($BF45&gt;$BF43,0.5,IF(BP43,-0.5,IF(BN45,0.5,CN43))))</f>
        <v>0</v>
      </c>
      <c r="BY43" s="87">
        <f>IF($BF43&gt;$BF46,-0.5,IF($BF46&gt;$BF43,0.5,IF(BQ43,-0.5,IF(BN46,0.5,CO43))))</f>
        <v>0</v>
      </c>
      <c r="BZ43" s="88" t="b">
        <f>AND(AND(BF43=BF44,BF44=BF45,BF45=BF46),AND(BG43=BG44,BG44=BG45,BG45=BG46),AND(BH43=BH44,BH44=BH45,BH45=BH46))</f>
        <v>1</v>
      </c>
      <c r="CA43" s="88" t="b">
        <f>AND(NOT(BZ43),BF43=BF44,BF43=BF45,BG43=BG44,BG43=BG45,BH43=BH44,BH43=BH45)</f>
        <v>0</v>
      </c>
      <c r="CB43" s="88" t="b">
        <f>AND(NOT(BZ43),BF43=BF44,BF43=BF46,BG43=BG44,BG43=BG46,BH43=BH44,BH43=BH46)</f>
        <v>0</v>
      </c>
      <c r="CC43" s="88" t="b">
        <f>AND(NOT(BZ43),BF43=BF45,BF43=BF46,BG43=BG45,BG43=BG46,BH43=BH45,BH43=BH46)</f>
        <v>0</v>
      </c>
      <c r="CD43" s="88" t="b">
        <f>AND(NOT(BZ43),BF44=BF45,BF44=BF46,BG44=BG45,BG44=BG46,BH44=BH45,BH44=BH46)</f>
        <v>0</v>
      </c>
      <c r="CE43" s="88" t="b">
        <f>AND(NOT(BZ43),NOT(CA43),NOT(CB43),BF43=BF44,BG43=BG44,BH43=BH44)</f>
        <v>0</v>
      </c>
      <c r="CF43" s="88" t="b">
        <f>AND(NOT(BZ43),NOT(CA43),NOT(CC43),BF43=BF45,BG43=BG45,BH43=BH45)</f>
        <v>0</v>
      </c>
      <c r="CG43" s="88" t="b">
        <f>AND(NOT(BZ43),NOT(CB43),NOT(CC43),BF43=BF46,BG43=BG46,BH43=BH46)</f>
        <v>0</v>
      </c>
      <c r="CH43" s="88" t="b">
        <f>AND(NOT(BZ43),NOT(CA43),NOT(CD43),BF44=BF45,BG44=BG45)</f>
        <v>0</v>
      </c>
      <c r="CI43" s="88" t="b">
        <f>AND(NOT(BZ43),NOT(CB43),NOT(CD43),BF44=BF46,BG44=BG46,BH44=BH46)</f>
        <v>0</v>
      </c>
      <c r="CJ43" s="88" t="b">
        <f>AND(NOT(BZ43),NOT(CC43),NOT(CD43),BF45=BF46,BG45=BG46,BH45=BH46)</f>
        <v>0</v>
      </c>
      <c r="CK43" s="88" t="b">
        <f t="array" ref="CK43">AND(NOT(BZ43:CJ43))</f>
        <v>0</v>
      </c>
      <c r="CL43" s="84" t="s">
        <v>71</v>
      </c>
      <c r="CM43" s="51">
        <f>IF($CE43,IF(T43-S43&lt;0,-0.5,IF(S43-T43&lt;0,0.5,0)),IF($CA43,IF($BR43&gt;$BR44,-0.5,IF($BR43&lt;$BR44,0.5,0)),IF($CB43,IF($BS43&gt;$BS44,-0.5, IF($BS43&lt;$BS44,0.5,0)),0)))</f>
        <v>0</v>
      </c>
      <c r="CN43" s="51">
        <f>IF($CF43,IF(T45-S45&lt;0,-0.5,IF(S45-T45&lt;0,0.5,0)),IF($CA43,IF($BR43&gt;$BR45,-0.5,IF($BR43&lt;$BR45,0.5,0)),IF($CC43,IF($BT43&gt;$BT45,-0.5,IF($BT43&lt;$BT45,0.5,0)),0)))</f>
        <v>0</v>
      </c>
      <c r="CO43" s="85">
        <f>IF($CG43,IF(S47-T47&lt;0,-0.5,IF(T47-S47&lt;0,0.5,0)),IF($CB43,IF($BS43&gt;$BS46,-0.5,IF($BS43&lt;$BS46,0.5,0)),IF($CC43,IF($BT43&gt;$BT46,-0.5, IF($BT43&lt;$BT46,0.5,0)),0)))</f>
        <v>0</v>
      </c>
    </row>
    <row r="44" spans="1:93" ht="14.25" customHeight="1" x14ac:dyDescent="0.2">
      <c r="A44" s="49">
        <f t="shared" ref="A44:A48" si="29">IF(OR(ISBLANK(S44),ISBLANK(T44)),1,0)</f>
        <v>1</v>
      </c>
      <c r="C44" s="49">
        <v>7</v>
      </c>
      <c r="D44" s="49" t="s">
        <v>90</v>
      </c>
      <c r="E44" s="49" t="s">
        <v>11</v>
      </c>
      <c r="F44" s="49" t="s">
        <v>86</v>
      </c>
      <c r="G44" s="11" t="str">
        <f t="shared" ref="G44:G48" si="30">R44</f>
        <v>Haiti</v>
      </c>
      <c r="H44" s="11">
        <f t="shared" ref="H44:H48" si="31">AN44</f>
        <v>3.9132362009669341</v>
      </c>
      <c r="I44" s="11"/>
      <c r="J44" s="11" t="s">
        <v>35</v>
      </c>
      <c r="K44" s="11">
        <f t="shared" ref="K44:K48" si="32">AO44</f>
        <v>4.1834407054388123</v>
      </c>
      <c r="L44" s="11"/>
      <c r="M44" s="11" t="str">
        <f t="shared" ref="M44:M48" si="33">U44</f>
        <v>Scotland</v>
      </c>
      <c r="N44" s="11">
        <f t="shared" ref="N44:N48" si="34">AP44</f>
        <v>1.9802352102126288</v>
      </c>
      <c r="O44" s="57"/>
      <c r="P44" s="89">
        <v>46187</v>
      </c>
      <c r="Q44" s="90">
        <v>0.125</v>
      </c>
      <c r="R44" s="133" t="s">
        <v>91</v>
      </c>
      <c r="S44" s="14"/>
      <c r="T44" s="14"/>
      <c r="U44" s="135" t="s">
        <v>92</v>
      </c>
      <c r="V44" s="57"/>
      <c r="W44" s="132">
        <f>BA44</f>
        <v>1</v>
      </c>
      <c r="X44" s="133" t="str">
        <f>INDEX(BE43:BE46,MATCH(BC44,$BD43:$BD46,0))</f>
        <v>Morocco</v>
      </c>
      <c r="Y44" s="134">
        <f>INDEX(BF43:BF46,MATCH(BC44,$BD43:$BD46,0))</f>
        <v>0</v>
      </c>
      <c r="Z44" s="134">
        <f>INDEX(BG43:BG46,MATCH(BC44,$BD43:$BD46,0))</f>
        <v>0</v>
      </c>
      <c r="AA44" s="134">
        <f>INDEX(BH43:BH46,MATCH(BC44,$BD43:$BD46,0))</f>
        <v>0</v>
      </c>
      <c r="AB44" s="134">
        <f>INDEX(BI43:BI46,MATCH(BC44,$BD43:$BD46,0))</f>
        <v>0</v>
      </c>
      <c r="AC44" s="57"/>
      <c r="AD44" s="57"/>
      <c r="AE44" s="49" t="str">
        <f t="shared" si="24"/>
        <v>Haiti</v>
      </c>
      <c r="AF44" s="49" t="str">
        <f t="shared" si="25"/>
        <v>Scotland</v>
      </c>
      <c r="AG44" s="75">
        <f>_xlfn.XLOOKUP(AE44,'FIFA rankings'!$B:$B,'FIFA rankings'!$D:$D)</f>
        <v>1291.71</v>
      </c>
      <c r="AH44" s="75">
        <f>_xlfn.XLOOKUP(AF44,'FIFA rankings'!$B:$B,'FIFA rankings'!$D:$D)</f>
        <v>1498.35</v>
      </c>
      <c r="AI44" s="76">
        <f t="shared" si="26"/>
        <v>-206.63999999999987</v>
      </c>
      <c r="AJ44" s="75"/>
      <c r="AK44" s="77">
        <f t="shared" si="27"/>
        <v>1.1466049436110941</v>
      </c>
      <c r="AL44" s="77">
        <f t="shared" si="28"/>
        <v>1.7093943392806383</v>
      </c>
      <c r="AM44" s="75"/>
      <c r="AN44" s="78" cm="1">
        <f t="array" ref="AN44">1/SUMPRODUCT(_xlfn.POISSON.DIST(ROW($1:$8)-1,$AK44,FALSE)*_xlfn.POISSON.DIST(TRANSPOSE(ROW($1:$8)-1),$AL44,FALSE)*((ROW($1:$8)-1)&gt;(TRANSPOSE(ROW($1:$8)-1))))</f>
        <v>3.9132362009669341</v>
      </c>
      <c r="AO44" s="78" cm="1">
        <f t="array" ref="AO44">1/SUMPRODUCT(_xlfn.POISSON.DIST(ROW($1:$8)-1,$AK44,FALSE)*_xlfn.POISSON.DIST(TRANSPOSE(ROW($1:$8)-1),$AL44,FALSE)*((ROW($1:$8)-1)=(TRANSPOSE(ROW($1:$8)-1))))</f>
        <v>4.1834407054388123</v>
      </c>
      <c r="AP44" s="78" cm="1">
        <f t="array" ref="AP44">1/SUMPRODUCT(_xlfn.POISSON.DIST(ROW($1:$8)-1,$AK44,FALSE)*_xlfn.POISSON.DIST(TRANSPOSE(ROW($1:$8)-1),$AL44,FALSE)*((ROW($1:$8)-1)&lt;(TRANSPOSE(ROW($1:$8)-1))))</f>
        <v>1.9802352102126288</v>
      </c>
      <c r="AQ44" s="75"/>
      <c r="AR44" s="78"/>
      <c r="AS44" s="79">
        <f t="shared" ref="AS44:AS48" si="35">1-SUM(1/AN44,1/AO44,1/AP44)</f>
        <v>4.2882518196385444E-4</v>
      </c>
      <c r="AT44" s="123"/>
      <c r="AU44" s="123"/>
      <c r="AV44" s="123"/>
      <c r="AW44" s="123"/>
      <c r="AX44" s="123"/>
      <c r="BA44" s="80">
        <f>IF(ROUND(BC44,0)=ROUND(BC43,0),BA43,2)</f>
        <v>1</v>
      </c>
      <c r="BB44" s="80">
        <f>ROUND(BC44,0)</f>
        <v>2</v>
      </c>
      <c r="BC44" s="81">
        <f>MAX(MIN(BD43:BD45),MIN(BD43,BD44,BD46),MIN(BD43,BD45,BD46),MIN(BD44:BD46))</f>
        <v>2.46</v>
      </c>
      <c r="BD44" s="92">
        <f>SUM(BV44:BY44)+2.46</f>
        <v>2.46</v>
      </c>
      <c r="BE44" s="83" t="str">
        <f>U43</f>
        <v>Morocco</v>
      </c>
      <c r="BF44" s="51">
        <f>SUM(BJ44:BM44)</f>
        <v>0</v>
      </c>
      <c r="BG44" s="84">
        <f>T43+T46+S48</f>
        <v>0</v>
      </c>
      <c r="BH44" s="51">
        <f>S43+S46+T48</f>
        <v>0</v>
      </c>
      <c r="BI44" s="85">
        <f>BG44-BH44</f>
        <v>0</v>
      </c>
      <c r="BJ44" s="51">
        <f>IF(ISBLANK(T43),0,IF(BK43=3,0,IF(BK43=1,1,3)))</f>
        <v>0</v>
      </c>
      <c r="BK44" s="51" t="s">
        <v>71</v>
      </c>
      <c r="BL44" s="51">
        <f>IF(ISBLANK(S48),0,IF(BK45=3,0,IF(BK45=1,1,3)))</f>
        <v>0</v>
      </c>
      <c r="BM44" s="51">
        <f>IF(ISBLANK(T46),0,IF(T46&gt;S46,3,IF(T46=S46,1,0)))</f>
        <v>0</v>
      </c>
      <c r="BN44" s="84" t="b">
        <f>(10*(BI43-BI44)+BG43-BG44&lt;0)</f>
        <v>0</v>
      </c>
      <c r="BO44" s="51" t="s">
        <v>71</v>
      </c>
      <c r="BP44" s="51" t="b">
        <f>10*(BI44-BI45)+BG44-BG45&gt;0</f>
        <v>0</v>
      </c>
      <c r="BQ44" s="85" t="b">
        <f>10*(BI44-BI46)+BG44-BG46&gt;0</f>
        <v>0</v>
      </c>
      <c r="BR44" s="84">
        <f>10000*(BJ44+BL44)+(T43-S43+S48-T48)*100+(T43+S48)</f>
        <v>0</v>
      </c>
      <c r="BS44" s="51">
        <f>10000*(BJ44+BM44)+(T43-S43+T46-S46)*100+(T43+T46)</f>
        <v>0</v>
      </c>
      <c r="BT44" s="51" t="s">
        <v>71</v>
      </c>
      <c r="BU44" s="85">
        <f>10000*(BL44+BM44)+(T46-S46+S48-T48)*100+(T46+S48)</f>
        <v>0</v>
      </c>
      <c r="BV44" s="93">
        <f>-BW43</f>
        <v>0</v>
      </c>
      <c r="BW44" s="51" t="s">
        <v>71</v>
      </c>
      <c r="BX44" s="86">
        <f>IF($BF44&gt;$BF45,-0.5,IF($BF45&gt;$BF44,0.5,IF(BP44,-0.5,IF(BO45,0.5,CN44))))</f>
        <v>0</v>
      </c>
      <c r="BY44" s="87">
        <f>IF($BF44&gt;$BF46,-0.5,IF($BF46&gt;$BF44,0.5,IF(BQ44,-0.5,IF(BO46,0.5,CO44))))</f>
        <v>0</v>
      </c>
      <c r="CL44" s="84"/>
      <c r="CM44" s="51" t="s">
        <v>71</v>
      </c>
      <c r="CN44" s="51">
        <f>IF($CH43,IF(T48-S48&lt;0,-0.5,IF(S48-T48&lt;0,0.5,0)),IF($CA43,IF($BR44&gt;$BR45,-0.5,IF($BR44&lt;$BR45,0.5,0)),IF($CD43,IF($BU44&gt;$BU45,-0.5,IF($BU44&lt;$BU45,0.5,0)),0)))</f>
        <v>0</v>
      </c>
      <c r="CO44" s="85">
        <f>IF($CI43,IF(S46-T46&lt;0,-0.5,IF(T46-S46&lt;0,0.5,0)),IF($CB43,IF($BS44&gt;$BS46,-0.5,IF($BS44&lt;$BS46,0.5,0)),IF($CD43,IF($BU44&gt;$BU46,-0.5,IF($BU44&lt;$BU46,0.5,0)),0)))</f>
        <v>0</v>
      </c>
    </row>
    <row r="45" spans="1:93" ht="14.25" customHeight="1" x14ac:dyDescent="0.2">
      <c r="A45" s="49">
        <f t="shared" si="29"/>
        <v>1</v>
      </c>
      <c r="C45" s="49">
        <v>29</v>
      </c>
      <c r="D45" s="49" t="s">
        <v>93</v>
      </c>
      <c r="E45" s="49" t="s">
        <v>11</v>
      </c>
      <c r="F45" s="49" t="s">
        <v>86</v>
      </c>
      <c r="G45" s="11" t="str">
        <f t="shared" si="30"/>
        <v>Brazil</v>
      </c>
      <c r="H45" s="11">
        <f t="shared" si="31"/>
        <v>1.490851015920809</v>
      </c>
      <c r="I45" s="11"/>
      <c r="J45" s="11" t="s">
        <v>35</v>
      </c>
      <c r="K45" s="11">
        <f t="shared" si="32"/>
        <v>5.302470295210763</v>
      </c>
      <c r="L45" s="11"/>
      <c r="M45" s="11" t="str">
        <f t="shared" si="33"/>
        <v>Haiti</v>
      </c>
      <c r="N45" s="11">
        <f t="shared" si="34"/>
        <v>7.2124485891444863</v>
      </c>
      <c r="O45" s="57"/>
      <c r="P45" s="68">
        <v>46193</v>
      </c>
      <c r="Q45" s="69">
        <v>0.125</v>
      </c>
      <c r="R45" s="130" t="str">
        <f>R43</f>
        <v>Brazil</v>
      </c>
      <c r="S45" s="14"/>
      <c r="T45" s="14"/>
      <c r="U45" s="131" t="str">
        <f>R44</f>
        <v>Haiti</v>
      </c>
      <c r="V45" s="57"/>
      <c r="W45" s="94">
        <f>BA45</f>
        <v>1</v>
      </c>
      <c r="X45" s="57" t="str">
        <f>INDEX(BE43:BE46,MATCH(BC45,$BD43:$BD46,0))</f>
        <v>Haiti</v>
      </c>
      <c r="Y45" s="95">
        <f>INDEX(BF43:BF46,MATCH(BC45,$BD43:$BD46,0))</f>
        <v>0</v>
      </c>
      <c r="Z45" s="95">
        <f>INDEX(BG43:BG46,MATCH(BC45,$BD43:$BD46,0))</f>
        <v>0</v>
      </c>
      <c r="AA45" s="95">
        <f>INDEX(BH43:BH46,MATCH(BC45,$BD43:$BD46,0))</f>
        <v>0</v>
      </c>
      <c r="AB45" s="95">
        <f>INDEX(BI43:BI46,MATCH(BC45,$BD43:$BD46,0))</f>
        <v>0</v>
      </c>
      <c r="AC45" s="57"/>
      <c r="AD45" s="57"/>
      <c r="AE45" s="49" t="str">
        <f t="shared" si="24"/>
        <v>Brazil</v>
      </c>
      <c r="AF45" s="49" t="str">
        <f t="shared" si="25"/>
        <v>Haiti</v>
      </c>
      <c r="AG45" s="75">
        <f>_xlfn.XLOOKUP(AE45,'FIFA rankings'!$B:$B,'FIFA rankings'!$D:$D)</f>
        <v>1761.16</v>
      </c>
      <c r="AH45" s="75">
        <f>_xlfn.XLOOKUP(AF45,'FIFA rankings'!$B:$B,'FIFA rankings'!$D:$D)</f>
        <v>1291.71</v>
      </c>
      <c r="AI45" s="76">
        <f t="shared" si="26"/>
        <v>469.45000000000005</v>
      </c>
      <c r="AJ45" s="75"/>
      <c r="AK45" s="77">
        <f t="shared" si="27"/>
        <v>2.2035738810379271</v>
      </c>
      <c r="AL45" s="77">
        <f t="shared" si="28"/>
        <v>0.88946416404100814</v>
      </c>
      <c r="AM45" s="75"/>
      <c r="AN45" s="78" cm="1">
        <f t="array" ref="AN45">1/SUMPRODUCT(_xlfn.POISSON.DIST(ROW($1:$8)-1,$AK45,FALSE)*_xlfn.POISSON.DIST(TRANSPOSE(ROW($1:$8)-1),$AL45,FALSE)*((ROW($1:$8)-1)&gt;(TRANSPOSE(ROW($1:$8)-1))))</f>
        <v>1.490851015920809</v>
      </c>
      <c r="AO45" s="78" cm="1">
        <f t="array" ref="AO45">1/SUMPRODUCT(_xlfn.POISSON.DIST(ROW($1:$8)-1,$AK45,FALSE)*_xlfn.POISSON.DIST(TRANSPOSE(ROW($1:$8)-1),$AL45,FALSE)*((ROW($1:$8)-1)=(TRANSPOSE(ROW($1:$8)-1))))</f>
        <v>5.302470295210763</v>
      </c>
      <c r="AP45" s="78" cm="1">
        <f t="array" ref="AP45">1/SUMPRODUCT(_xlfn.POISSON.DIST(ROW($1:$8)-1,$AK45,FALSE)*_xlfn.POISSON.DIST(TRANSPOSE(ROW($1:$8)-1),$AL45,FALSE)*((ROW($1:$8)-1)&lt;(TRANSPOSE(ROW($1:$8)-1))))</f>
        <v>7.2124485891444863</v>
      </c>
      <c r="AQ45" s="75"/>
      <c r="AR45" s="78"/>
      <c r="AS45" s="79">
        <f t="shared" si="35"/>
        <v>2.0016521976768953E-3</v>
      </c>
      <c r="AT45" s="123"/>
      <c r="AU45" s="123"/>
      <c r="AV45" s="123"/>
      <c r="AW45" s="123"/>
      <c r="AX45" s="123"/>
      <c r="BA45" s="80">
        <f>IF(ROUND(BC45,0)=ROUND(BC44,0),BA44,3)</f>
        <v>1</v>
      </c>
      <c r="BB45" s="80">
        <f>ROUND(BC45,0)</f>
        <v>2</v>
      </c>
      <c r="BC45" s="81">
        <f>MIN(MAX(BD43:BD45),MAX(BD43,BD44,BD46),MAX(BD43,BD45,BD46),MAX(BD44:BD46))</f>
        <v>2.4700000000000002</v>
      </c>
      <c r="BD45" s="92">
        <f>SUM(BV45:BY45)+2.47</f>
        <v>2.4700000000000002</v>
      </c>
      <c r="BE45" s="83" t="str">
        <f>R44</f>
        <v>Haiti</v>
      </c>
      <c r="BF45" s="51">
        <f>SUM(BJ45:BM45)</f>
        <v>0</v>
      </c>
      <c r="BG45" s="84">
        <f>S44+T45+T48</f>
        <v>0</v>
      </c>
      <c r="BH45" s="51">
        <f>T44+S45+S48</f>
        <v>0</v>
      </c>
      <c r="BI45" s="85">
        <f>BG45-BH45</f>
        <v>0</v>
      </c>
      <c r="BJ45" s="51">
        <f>IF(ISBLANK(T45),0,IF(BL43=3,0,IF(BL43=1,1,3)))</f>
        <v>0</v>
      </c>
      <c r="BK45" s="51">
        <f>IF(ISBLANK(T48),0,IF(T48&gt;S48,3,IF(T48=S48,1,0)))</f>
        <v>0</v>
      </c>
      <c r="BL45" s="51" t="s">
        <v>71</v>
      </c>
      <c r="BM45" s="51">
        <f>IF(ISBLANK(S44),0,IF(S44&gt;T44,3,IF(S44=T44,1,0)))</f>
        <v>0</v>
      </c>
      <c r="BN45" s="84" t="b">
        <f>10*(BI43-BI45)+BG43-BG45&lt;0</f>
        <v>0</v>
      </c>
      <c r="BO45" s="51" t="b">
        <f>10*(BI44-BI45)+BG44-BG45&lt;0</f>
        <v>0</v>
      </c>
      <c r="BP45" s="51" t="s">
        <v>71</v>
      </c>
      <c r="BQ45" s="85" t="b">
        <f>10*(BI45-BI46)+BG45-BG46&gt;0</f>
        <v>0</v>
      </c>
      <c r="BR45" s="84">
        <f>10000*(BJ45+BK45)+(T45-S45+T48-S48)*100+(T45+T48)</f>
        <v>0</v>
      </c>
      <c r="BS45" s="51" t="s">
        <v>71</v>
      </c>
      <c r="BT45" s="51">
        <f>10000*(BJ45+BM45)+(S44-T44+T45-S45)*100+(S44+T45)</f>
        <v>0</v>
      </c>
      <c r="BU45" s="85">
        <f>10000*(BK45+BM45)+(S44-T44+T48-S48)*100+(S44+T48)</f>
        <v>0</v>
      </c>
      <c r="BV45" s="93">
        <f>-BX43</f>
        <v>0</v>
      </c>
      <c r="BW45" s="86">
        <f>-BX44</f>
        <v>0</v>
      </c>
      <c r="BX45" s="86" t="s">
        <v>71</v>
      </c>
      <c r="BY45" s="87">
        <f>IF($BF45&gt;$BF46,-0.5,IF($BF46&gt;$BF45,0.5,IF(BQ45,-0.5,IF(BP46,0.5,CO45))))</f>
        <v>0</v>
      </c>
      <c r="CL45" s="84"/>
      <c r="CM45" s="51"/>
      <c r="CN45" s="51" t="s">
        <v>71</v>
      </c>
      <c r="CO45" s="85">
        <f>IF($CJ43,IF(T44-S44&lt;0,-0.5,IF(S44-T44&lt;0,0.5,0)),IF($CC43,IF($BT45&gt;$BT46,-0.5,IF($BT45&lt;$BT46,0.5,0)),IF($CD43,IF($BU45&gt;$BU46,-0.5,IF($BU45&lt;$BU46,0.5,0)),0)))</f>
        <v>0</v>
      </c>
    </row>
    <row r="46" spans="1:93" ht="14.25" customHeight="1" x14ac:dyDescent="0.2">
      <c r="A46" s="49">
        <f t="shared" si="29"/>
        <v>1</v>
      </c>
      <c r="C46" s="49">
        <v>30</v>
      </c>
      <c r="D46" s="49" t="s">
        <v>94</v>
      </c>
      <c r="E46" s="49" t="s">
        <v>11</v>
      </c>
      <c r="F46" s="49" t="s">
        <v>86</v>
      </c>
      <c r="G46" s="11" t="str">
        <f t="shared" si="30"/>
        <v>Scotland</v>
      </c>
      <c r="H46" s="11">
        <f t="shared" si="31"/>
        <v>4.3530255115450158</v>
      </c>
      <c r="I46" s="11"/>
      <c r="J46" s="11" t="s">
        <v>35</v>
      </c>
      <c r="K46" s="11">
        <f t="shared" si="32"/>
        <v>4.3157270599384905</v>
      </c>
      <c r="L46" s="11"/>
      <c r="M46" s="11" t="str">
        <f t="shared" si="33"/>
        <v>Morocco</v>
      </c>
      <c r="N46" s="11">
        <f t="shared" si="34"/>
        <v>1.8587623841607508</v>
      </c>
      <c r="O46" s="57"/>
      <c r="P46" s="89">
        <v>46193</v>
      </c>
      <c r="Q46" s="90">
        <v>0</v>
      </c>
      <c r="R46" s="133" t="str">
        <f>U44</f>
        <v>Scotland</v>
      </c>
      <c r="S46" s="14"/>
      <c r="T46" s="14"/>
      <c r="U46" s="135" t="str">
        <f>U43</f>
        <v>Morocco</v>
      </c>
      <c r="V46" s="57"/>
      <c r="W46" s="94">
        <f>BA46</f>
        <v>1</v>
      </c>
      <c r="X46" s="57" t="str">
        <f>INDEX(BE43:BE46,MATCH(BC46,$BD43:$BD46,0))</f>
        <v>Scotland</v>
      </c>
      <c r="Y46" s="95">
        <f>INDEX(BF43:BF46,MATCH(BC46,$BD43:$BD46,0))</f>
        <v>0</v>
      </c>
      <c r="Z46" s="95">
        <f>INDEX(BG43:BG46,MATCH(BC46,$BD43:$BD46,0))</f>
        <v>0</v>
      </c>
      <c r="AA46" s="95">
        <f>INDEX(BH43:BH46,MATCH(BC46,$BD43:$BD46,0))</f>
        <v>0</v>
      </c>
      <c r="AB46" s="95">
        <f>INDEX(BI43:BI46,MATCH(BC46,$BD43:$BD46,0))</f>
        <v>0</v>
      </c>
      <c r="AC46" s="57"/>
      <c r="AD46" s="57"/>
      <c r="AE46" s="49" t="str">
        <f t="shared" si="24"/>
        <v>Scotland</v>
      </c>
      <c r="AF46" s="49" t="str">
        <f t="shared" si="25"/>
        <v>Morocco</v>
      </c>
      <c r="AG46" s="75">
        <f>_xlfn.XLOOKUP(AE46,'FIFA rankings'!$B:$B,'FIFA rankings'!$D:$D)</f>
        <v>1498.35</v>
      </c>
      <c r="AH46" s="75">
        <f>_xlfn.XLOOKUP(AF46,'FIFA rankings'!$B:$B,'FIFA rankings'!$D:$D)</f>
        <v>1755.87</v>
      </c>
      <c r="AI46" s="76">
        <f t="shared" si="26"/>
        <v>-257.52</v>
      </c>
      <c r="AJ46" s="75"/>
      <c r="AK46" s="77">
        <f t="shared" si="27"/>
        <v>1.0915975995559606</v>
      </c>
      <c r="AL46" s="77">
        <f t="shared" si="28"/>
        <v>1.7955334463883827</v>
      </c>
      <c r="AM46" s="75"/>
      <c r="AN46" s="78" cm="1">
        <f t="array" ref="AN46">1/SUMPRODUCT(_xlfn.POISSON.DIST(ROW($1:$8)-1,$AK46,FALSE)*_xlfn.POISSON.DIST(TRANSPOSE(ROW($1:$8)-1),$AL46,FALSE)*((ROW($1:$8)-1)&gt;(TRANSPOSE(ROW($1:$8)-1))))</f>
        <v>4.3530255115450158</v>
      </c>
      <c r="AO46" s="78" cm="1">
        <f t="array" ref="AO46">1/SUMPRODUCT(_xlfn.POISSON.DIST(ROW($1:$8)-1,$AK46,FALSE)*_xlfn.POISSON.DIST(TRANSPOSE(ROW($1:$8)-1),$AL46,FALSE)*((ROW($1:$8)-1)=(TRANSPOSE(ROW($1:$8)-1))))</f>
        <v>4.3157270599384905</v>
      </c>
      <c r="AP46" s="78" cm="1">
        <f t="array" ref="AP46">1/SUMPRODUCT(_xlfn.POISSON.DIST(ROW($1:$8)-1,$AK46,FALSE)*_xlfn.POISSON.DIST(TRANSPOSE(ROW($1:$8)-1),$AL46,FALSE)*((ROW($1:$8)-1)&lt;(TRANSPOSE(ROW($1:$8)-1))))</f>
        <v>1.8587623841607508</v>
      </c>
      <c r="AQ46" s="75"/>
      <c r="AR46" s="78"/>
      <c r="AS46" s="79">
        <f t="shared" si="35"/>
        <v>5.7167243551337066E-4</v>
      </c>
      <c r="AT46" s="123"/>
      <c r="AU46" s="123"/>
      <c r="AV46" s="123"/>
      <c r="AW46" s="123"/>
      <c r="AX46" s="123"/>
      <c r="BA46" s="80">
        <f>IF(ROUND(BC46,0)=ROUND(BC45,0),BA45,4)</f>
        <v>1</v>
      </c>
      <c r="BB46" s="80">
        <f>ROUND(BC46,0)</f>
        <v>2</v>
      </c>
      <c r="BC46" s="81">
        <f>MAX(BD43:BD46)</f>
        <v>2.48</v>
      </c>
      <c r="BD46" s="96">
        <f>SUM(BV46:BY46)+2.48</f>
        <v>2.48</v>
      </c>
      <c r="BE46" s="97" t="str">
        <f>U44</f>
        <v>Scotland</v>
      </c>
      <c r="BF46" s="88">
        <f>SUM(BJ46:BM46)</f>
        <v>0</v>
      </c>
      <c r="BG46" s="98">
        <f>T44+S46+S47</f>
        <v>0</v>
      </c>
      <c r="BH46" s="88">
        <f>S44+T46+T47</f>
        <v>0</v>
      </c>
      <c r="BI46" s="99">
        <f>BG46-BH46</f>
        <v>0</v>
      </c>
      <c r="BJ46" s="88">
        <f>IF(ISBLANK(S47),0,IF(BM43=3,0,IF(BM43=1,1,3)))</f>
        <v>0</v>
      </c>
      <c r="BK46" s="88">
        <f>IF(ISBLANK(S46),0,IF(BM44=3,0,IF(BM44=1,1,3)))</f>
        <v>0</v>
      </c>
      <c r="BL46" s="88">
        <f>IF(ISBLANK(T44),0,IF(BM45=3,0,IF(BM45=1,1,3)))</f>
        <v>0</v>
      </c>
      <c r="BM46" s="88" t="s">
        <v>71</v>
      </c>
      <c r="BN46" s="98" t="b">
        <f>10*(BI43-BI46)+BG43-BG46&lt;0</f>
        <v>0</v>
      </c>
      <c r="BO46" s="88" t="b">
        <f>10*(BI44-BI46)+BG44-BG46&lt;0</f>
        <v>0</v>
      </c>
      <c r="BP46" s="88" t="b">
        <f>10*(BI45-BI46)+BG45-BG46&lt;0</f>
        <v>0</v>
      </c>
      <c r="BQ46" s="99" t="s">
        <v>71</v>
      </c>
      <c r="BR46" s="98" t="s">
        <v>71</v>
      </c>
      <c r="BS46" s="88">
        <f>10000*(BJ46+BK46)+(S46-T46+S47-T47)*100+(S46+S47)</f>
        <v>0</v>
      </c>
      <c r="BT46" s="88">
        <f>10000*(BJ46+BL46)+(S47-T47+T44-S44)*100+(S47+T44)</f>
        <v>0</v>
      </c>
      <c r="BU46" s="99">
        <f>10000*(BK46+BL46)+(S46-T46+T44-S44)*100+(S46+T44)</f>
        <v>0</v>
      </c>
      <c r="BV46" s="100">
        <f>-BY43</f>
        <v>0</v>
      </c>
      <c r="BW46" s="101">
        <f>-BY44</f>
        <v>0</v>
      </c>
      <c r="BX46" s="101">
        <f>-BY45</f>
        <v>0</v>
      </c>
      <c r="BY46" s="99" t="s">
        <v>71</v>
      </c>
      <c r="CL46" s="98"/>
      <c r="CM46" s="88"/>
      <c r="CN46" s="88"/>
      <c r="CO46" s="99" t="s">
        <v>71</v>
      </c>
    </row>
    <row r="47" spans="1:93" ht="14.25" customHeight="1" x14ac:dyDescent="0.2">
      <c r="A47" s="49">
        <f t="shared" si="29"/>
        <v>1</v>
      </c>
      <c r="C47" s="49">
        <v>49</v>
      </c>
      <c r="E47" s="49" t="s">
        <v>11</v>
      </c>
      <c r="F47" s="49" t="s">
        <v>86</v>
      </c>
      <c r="G47" s="11" t="str">
        <f t="shared" si="30"/>
        <v>Scotland</v>
      </c>
      <c r="H47" s="11">
        <f t="shared" si="31"/>
        <v>4.4028722426298206</v>
      </c>
      <c r="I47" s="11"/>
      <c r="J47" s="11" t="s">
        <v>35</v>
      </c>
      <c r="K47" s="11">
        <f t="shared" si="32"/>
        <v>4.3314471367970215</v>
      </c>
      <c r="L47" s="11"/>
      <c r="M47" s="11" t="str">
        <f t="shared" si="33"/>
        <v>Brazil</v>
      </c>
      <c r="N47" s="11">
        <f t="shared" si="34"/>
        <v>1.8470074540478052</v>
      </c>
      <c r="O47" s="57"/>
      <c r="P47" s="68">
        <v>46198</v>
      </c>
      <c r="Q47" s="69">
        <v>0</v>
      </c>
      <c r="R47" s="130" t="str">
        <f>U44</f>
        <v>Scotland</v>
      </c>
      <c r="S47" s="14"/>
      <c r="T47" s="14"/>
      <c r="U47" s="131" t="str">
        <f>R43</f>
        <v>Brazil</v>
      </c>
      <c r="V47" s="57"/>
      <c r="W47" s="102"/>
      <c r="X47" s="103" t="str">
        <f>IF(OR(W45&lt;3,W44&lt;2),"TIRAGE AU SORT !!!"," ")</f>
        <v>TIRAGE AU SORT !!!</v>
      </c>
      <c r="Y47" s="102"/>
      <c r="Z47" s="102"/>
      <c r="AA47" s="102"/>
      <c r="AB47" s="102"/>
      <c r="AC47" s="57"/>
      <c r="AD47" s="57"/>
      <c r="AE47" s="49" t="str">
        <f t="shared" si="24"/>
        <v>Scotland</v>
      </c>
      <c r="AF47" s="49" t="str">
        <f t="shared" si="25"/>
        <v>Brazil</v>
      </c>
      <c r="AG47" s="75">
        <f>_xlfn.XLOOKUP(AE47,'FIFA rankings'!$B:$B,'FIFA rankings'!$D:$D)</f>
        <v>1498.35</v>
      </c>
      <c r="AH47" s="75">
        <f>_xlfn.XLOOKUP(AF47,'FIFA rankings'!$B:$B,'FIFA rankings'!$D:$D)</f>
        <v>1761.16</v>
      </c>
      <c r="AI47" s="76">
        <f t="shared" si="26"/>
        <v>-262.81000000000017</v>
      </c>
      <c r="AJ47" s="75"/>
      <c r="AK47" s="77">
        <f t="shared" si="27"/>
        <v>1.0860321478604886</v>
      </c>
      <c r="AL47" s="77">
        <f t="shared" si="28"/>
        <v>1.8047347897216948</v>
      </c>
      <c r="AM47" s="75"/>
      <c r="AN47" s="78" cm="1">
        <f t="array" ref="AN47">1/SUMPRODUCT(_xlfn.POISSON.DIST(ROW($1:$8)-1,$AK47,FALSE)*_xlfn.POISSON.DIST(TRANSPOSE(ROW($1:$8)-1),$AL47,FALSE)*((ROW($1:$8)-1)&gt;(TRANSPOSE(ROW($1:$8)-1))))</f>
        <v>4.4028722426298206</v>
      </c>
      <c r="AO47" s="78" cm="1">
        <f t="array" ref="AO47">1/SUMPRODUCT(_xlfn.POISSON.DIST(ROW($1:$8)-1,$AK47,FALSE)*_xlfn.POISSON.DIST(TRANSPOSE(ROW($1:$8)-1),$AL47,FALSE)*((ROW($1:$8)-1)=(TRANSPOSE(ROW($1:$8)-1))))</f>
        <v>4.3314471367970215</v>
      </c>
      <c r="AP47" s="78" cm="1">
        <f t="array" ref="AP47">1/SUMPRODUCT(_xlfn.POISSON.DIST(ROW($1:$8)-1,$AK47,FALSE)*_xlfn.POISSON.DIST(TRANSPOSE(ROW($1:$8)-1),$AL47,FALSE)*((ROW($1:$8)-1)&lt;(TRANSPOSE(ROW($1:$8)-1))))</f>
        <v>1.8470074540478052</v>
      </c>
      <c r="AQ47" s="75"/>
      <c r="AR47" s="78"/>
      <c r="AS47" s="79">
        <f t="shared" si="35"/>
        <v>5.8948124941182733E-4</v>
      </c>
      <c r="AT47" s="123"/>
      <c r="AU47" s="123"/>
      <c r="AV47" s="123"/>
      <c r="AW47" s="123"/>
      <c r="AX47" s="123"/>
    </row>
    <row r="48" spans="1:93" ht="14.25" customHeight="1" x14ac:dyDescent="0.2">
      <c r="A48" s="49">
        <f t="shared" si="29"/>
        <v>1</v>
      </c>
      <c r="C48" s="49">
        <v>50</v>
      </c>
      <c r="E48" s="49" t="s">
        <v>11</v>
      </c>
      <c r="F48" s="49" t="s">
        <v>86</v>
      </c>
      <c r="G48" s="11" t="str">
        <f t="shared" si="30"/>
        <v>Morocco</v>
      </c>
      <c r="H48" s="11">
        <f t="shared" si="31"/>
        <v>1.4978623717411093</v>
      </c>
      <c r="I48" s="11"/>
      <c r="J48" s="11" t="s">
        <v>35</v>
      </c>
      <c r="K48" s="11">
        <f t="shared" si="32"/>
        <v>5.2671853305061269</v>
      </c>
      <c r="L48" s="11"/>
      <c r="M48" s="11" t="str">
        <f t="shared" si="33"/>
        <v>Haiti</v>
      </c>
      <c r="N48" s="11">
        <f t="shared" si="34"/>
        <v>7.113047509432687</v>
      </c>
      <c r="O48" s="57"/>
      <c r="P48" s="89">
        <v>46198</v>
      </c>
      <c r="Q48" s="90">
        <v>0</v>
      </c>
      <c r="R48" s="133" t="str">
        <f>U43</f>
        <v>Morocco</v>
      </c>
      <c r="S48" s="14"/>
      <c r="T48" s="14"/>
      <c r="U48" s="135" t="str">
        <f>R44</f>
        <v>Haiti</v>
      </c>
      <c r="V48" s="57"/>
      <c r="W48" s="95"/>
      <c r="X48" s="57"/>
      <c r="Y48" s="95"/>
      <c r="Z48" s="95"/>
      <c r="AA48" s="95"/>
      <c r="AB48" s="95"/>
      <c r="AC48" s="57"/>
      <c r="AD48" s="57"/>
      <c r="AE48" s="49" t="str">
        <f t="shared" si="24"/>
        <v>Morocco</v>
      </c>
      <c r="AF48" s="49" t="str">
        <f t="shared" si="25"/>
        <v>Haiti</v>
      </c>
      <c r="AG48" s="75">
        <f>_xlfn.XLOOKUP(AE48,'FIFA rankings'!$B:$B,'FIFA rankings'!$D:$D)</f>
        <v>1755.87</v>
      </c>
      <c r="AH48" s="75">
        <f>_xlfn.XLOOKUP(AF48,'FIFA rankings'!$B:$B,'FIFA rankings'!$D:$D)</f>
        <v>1291.71</v>
      </c>
      <c r="AI48" s="76">
        <f t="shared" si="26"/>
        <v>464.15999999999985</v>
      </c>
      <c r="AJ48" s="75"/>
      <c r="AK48" s="77">
        <f t="shared" si="27"/>
        <v>2.1923390780323975</v>
      </c>
      <c r="AL48" s="77">
        <f t="shared" si="28"/>
        <v>0.89402228863204869</v>
      </c>
      <c r="AM48" s="75"/>
      <c r="AN48" s="78" cm="1">
        <f t="array" ref="AN48">1/SUMPRODUCT(_xlfn.POISSON.DIST(ROW($1:$8)-1,$AK48,FALSE)*_xlfn.POISSON.DIST(TRANSPOSE(ROW($1:$8)-1),$AL48,FALSE)*((ROW($1:$8)-1)&gt;(TRANSPOSE(ROW($1:$8)-1))))</f>
        <v>1.4978623717411093</v>
      </c>
      <c r="AO48" s="78" cm="1">
        <f t="array" ref="AO48">1/SUMPRODUCT(_xlfn.POISSON.DIST(ROW($1:$8)-1,$AK48,FALSE)*_xlfn.POISSON.DIST(TRANSPOSE(ROW($1:$8)-1),$AL48,FALSE)*((ROW($1:$8)-1)=(TRANSPOSE(ROW($1:$8)-1))))</f>
        <v>5.2671853305061269</v>
      </c>
      <c r="AP48" s="78" cm="1">
        <f t="array" ref="AP48">1/SUMPRODUCT(_xlfn.POISSON.DIST(ROW($1:$8)-1,$AK48,FALSE)*_xlfn.POISSON.DIST(TRANSPOSE(ROW($1:$8)-1),$AL48,FALSE)*((ROW($1:$8)-1)&lt;(TRANSPOSE(ROW($1:$8)-1))))</f>
        <v>7.113047509432687</v>
      </c>
      <c r="AQ48" s="75"/>
      <c r="AR48" s="78"/>
      <c r="AS48" s="79">
        <f t="shared" si="35"/>
        <v>1.9404823550723815E-3</v>
      </c>
      <c r="AT48" s="123"/>
      <c r="AU48" s="123"/>
      <c r="AV48" s="123"/>
      <c r="AW48" s="123"/>
      <c r="AX48" s="123"/>
    </row>
    <row r="49" spans="1:93" ht="14.25" customHeight="1" x14ac:dyDescent="0.2">
      <c r="F49" s="49"/>
      <c r="G49" s="11"/>
      <c r="H49" s="11"/>
      <c r="I49" s="11"/>
      <c r="J49" s="11"/>
      <c r="K49" s="11"/>
      <c r="L49" s="11"/>
      <c r="M49" s="11"/>
      <c r="N49" s="11"/>
      <c r="O49" s="57"/>
      <c r="P49" s="105"/>
      <c r="Q49" s="106"/>
      <c r="R49" s="57"/>
      <c r="S49" s="57"/>
      <c r="T49" s="57"/>
      <c r="U49" s="57"/>
      <c r="V49" s="57"/>
      <c r="W49" s="95"/>
      <c r="X49" s="57"/>
      <c r="Y49" s="95"/>
      <c r="Z49" s="95"/>
      <c r="AA49" s="95"/>
      <c r="AB49" s="95"/>
      <c r="AC49" s="57"/>
      <c r="AD49" s="57"/>
      <c r="AE49" s="49"/>
      <c r="AG49" s="49"/>
      <c r="AH49" s="49"/>
      <c r="AI49" s="49"/>
      <c r="AJ49" s="136"/>
      <c r="AK49" s="49"/>
      <c r="AL49" s="49"/>
      <c r="AM49" s="136"/>
      <c r="AN49" s="57"/>
      <c r="AO49" s="136"/>
      <c r="AQ49" s="136"/>
      <c r="AR49" s="123"/>
      <c r="AS49" s="123"/>
      <c r="AT49" s="123"/>
      <c r="AU49" s="123"/>
      <c r="AV49" s="123"/>
      <c r="AW49" s="123"/>
      <c r="AX49" s="123"/>
    </row>
    <row r="50" spans="1:93" ht="14.25" customHeight="1" x14ac:dyDescent="0.2">
      <c r="F50" s="49" t="s">
        <v>95</v>
      </c>
      <c r="G50" s="137" t="str">
        <f>$F50 &amp; " / Odds"</f>
        <v>Group D / Odds</v>
      </c>
      <c r="H50" s="137"/>
      <c r="I50" s="137"/>
      <c r="J50" s="137"/>
      <c r="K50" s="137"/>
      <c r="L50" s="137"/>
      <c r="M50" s="137"/>
      <c r="N50" s="137"/>
      <c r="O50" s="57"/>
      <c r="P50" s="137" t="str">
        <f>$F50 &amp; " / Results"</f>
        <v>Group D / Results</v>
      </c>
      <c r="Q50" s="138"/>
      <c r="R50" s="139"/>
      <c r="S50" s="139"/>
      <c r="T50" s="139"/>
      <c r="U50" s="139"/>
      <c r="V50" s="57"/>
      <c r="W50" s="140"/>
      <c r="X50" s="141" t="str">
        <f>X42</f>
        <v>Ranking</v>
      </c>
      <c r="Y50" s="142" t="s">
        <v>24</v>
      </c>
      <c r="Z50" s="142" t="s">
        <v>25</v>
      </c>
      <c r="AA50" s="142" t="s">
        <v>26</v>
      </c>
      <c r="AB50" s="142" t="str">
        <f>"+/-"</f>
        <v>+/-</v>
      </c>
      <c r="AC50" s="57"/>
      <c r="AD50" s="57"/>
      <c r="AE50" s="49"/>
      <c r="AG50" s="49"/>
      <c r="AH50" s="49"/>
      <c r="AI50" s="49"/>
      <c r="AJ50" s="136"/>
      <c r="AK50" s="49"/>
      <c r="AL50" s="49"/>
      <c r="AM50" s="136"/>
      <c r="AN50" s="57"/>
      <c r="AO50" s="136"/>
      <c r="AQ50" s="136"/>
      <c r="AR50" s="123"/>
      <c r="AS50" s="123"/>
      <c r="AT50" s="123"/>
      <c r="AU50" s="123"/>
      <c r="AV50" s="123"/>
      <c r="AW50" s="123"/>
      <c r="AX50" s="123"/>
      <c r="BD50" s="63" t="s">
        <v>37</v>
      </c>
      <c r="BE50" s="64" t="s">
        <v>38</v>
      </c>
      <c r="BF50" s="65" t="s">
        <v>24</v>
      </c>
      <c r="BG50" s="66" t="s">
        <v>25</v>
      </c>
      <c r="BH50" s="65" t="s">
        <v>26</v>
      </c>
      <c r="BI50" s="67" t="s">
        <v>39</v>
      </c>
      <c r="BJ50" s="65" t="s">
        <v>40</v>
      </c>
      <c r="BK50" s="65" t="s">
        <v>41</v>
      </c>
      <c r="BL50" s="65" t="s">
        <v>42</v>
      </c>
      <c r="BM50" s="65" t="s">
        <v>43</v>
      </c>
      <c r="BN50" s="66" t="s">
        <v>44</v>
      </c>
      <c r="BO50" s="65" t="s">
        <v>45</v>
      </c>
      <c r="BP50" s="65" t="s">
        <v>46</v>
      </c>
      <c r="BQ50" s="67" t="s">
        <v>47</v>
      </c>
      <c r="BR50" s="66" t="s">
        <v>48</v>
      </c>
      <c r="BS50" s="65" t="s">
        <v>49</v>
      </c>
      <c r="BT50" s="65" t="s">
        <v>50</v>
      </c>
      <c r="BU50" s="67" t="s">
        <v>51</v>
      </c>
      <c r="BV50" s="66" t="s">
        <v>52</v>
      </c>
      <c r="BW50" s="65" t="s">
        <v>53</v>
      </c>
      <c r="BX50" s="65" t="s">
        <v>54</v>
      </c>
      <c r="BY50" s="67" t="s">
        <v>55</v>
      </c>
      <c r="BZ50" s="66" t="s">
        <v>56</v>
      </c>
      <c r="CA50" s="65" t="s">
        <v>48</v>
      </c>
      <c r="CB50" s="65" t="s">
        <v>49</v>
      </c>
      <c r="CC50" s="65" t="s">
        <v>50</v>
      </c>
      <c r="CD50" s="65" t="s">
        <v>51</v>
      </c>
      <c r="CE50" s="65" t="s">
        <v>57</v>
      </c>
      <c r="CF50" s="65" t="s">
        <v>58</v>
      </c>
      <c r="CG50" s="65" t="s">
        <v>59</v>
      </c>
      <c r="CH50" s="65" t="s">
        <v>60</v>
      </c>
      <c r="CI50" s="65" t="s">
        <v>61</v>
      </c>
      <c r="CJ50" s="65" t="s">
        <v>62</v>
      </c>
      <c r="CK50" s="65" t="s">
        <v>63</v>
      </c>
      <c r="CL50" s="66" t="s">
        <v>64</v>
      </c>
      <c r="CM50" s="65" t="s">
        <v>65</v>
      </c>
      <c r="CN50" s="65" t="s">
        <v>66</v>
      </c>
      <c r="CO50" s="67" t="s">
        <v>67</v>
      </c>
    </row>
    <row r="51" spans="1:93" ht="14.25" customHeight="1" x14ac:dyDescent="0.2">
      <c r="A51" s="49">
        <f>IF(OR(ISBLANK(S51),ISBLANK(T51)),1,0)</f>
        <v>1</v>
      </c>
      <c r="C51" s="49">
        <v>4</v>
      </c>
      <c r="D51" s="49" t="s">
        <v>96</v>
      </c>
      <c r="E51" s="49" t="s">
        <v>11</v>
      </c>
      <c r="F51" s="49" t="s">
        <v>95</v>
      </c>
      <c r="G51" s="11" t="str">
        <f>R51</f>
        <v>USA</v>
      </c>
      <c r="H51" s="11">
        <f>AN51</f>
        <v>2.0790397088137782</v>
      </c>
      <c r="I51" s="11"/>
      <c r="J51" s="11" t="s">
        <v>35</v>
      </c>
      <c r="K51" s="11">
        <f>AO51</f>
        <v>4.1075641621508785</v>
      </c>
      <c r="L51" s="11"/>
      <c r="M51" s="11" t="str">
        <f>U51</f>
        <v>Paraguay</v>
      </c>
      <c r="N51" s="11">
        <f>AP51</f>
        <v>3.6336844149004905</v>
      </c>
      <c r="O51" s="57"/>
      <c r="P51" s="68">
        <v>46186</v>
      </c>
      <c r="Q51" s="69">
        <v>0.125</v>
      </c>
      <c r="R51" s="143" t="s">
        <v>97</v>
      </c>
      <c r="S51" s="15"/>
      <c r="T51" s="15"/>
      <c r="U51" s="144" t="s">
        <v>98</v>
      </c>
      <c r="V51" s="57"/>
      <c r="W51" s="145">
        <f>BA51</f>
        <v>1</v>
      </c>
      <c r="X51" s="146" t="str">
        <f>INDEX(BE51:BE54,MATCH(BC51,$BD51:$BD54,0))</f>
        <v>USA</v>
      </c>
      <c r="Y51" s="147">
        <f>INDEX(BF51:BF54,MATCH(BC51,$BD51:$BD54,0))</f>
        <v>0</v>
      </c>
      <c r="Z51" s="147">
        <f>INDEX(BG51:BG54,MATCH(BC51,$BD51:$BD54,0))</f>
        <v>0</v>
      </c>
      <c r="AA51" s="147">
        <f>INDEX(BH51:BH54,MATCH(BC51,$BD51:$BD54,0))</f>
        <v>0</v>
      </c>
      <c r="AB51" s="147">
        <f>INDEX(BI51:BI54,MATCH(BC51,$BD51:$BD54,0))</f>
        <v>0</v>
      </c>
      <c r="AC51" s="57"/>
      <c r="AD51" s="57"/>
      <c r="AE51" s="49" t="str">
        <f t="shared" ref="AE51:AE56" si="36">R51</f>
        <v>USA</v>
      </c>
      <c r="AF51" s="49" t="str">
        <f t="shared" ref="AF51:AF56" si="37">U51</f>
        <v>Paraguay</v>
      </c>
      <c r="AG51" s="75">
        <f>_xlfn.XLOOKUP(AE51,'FIFA rankings'!$B:$B,'FIFA rankings'!$D:$D)</f>
        <v>1673.13</v>
      </c>
      <c r="AH51" s="75">
        <f>_xlfn.XLOOKUP(AF51,'FIFA rankings'!$B:$B,'FIFA rankings'!$D:$D)</f>
        <v>1503.5</v>
      </c>
      <c r="AI51" s="76">
        <f t="shared" ref="AI51:AI56" si="38">IFERROR(AG51-AH51,"n.a.")</f>
        <v>169.63000000000011</v>
      </c>
      <c r="AJ51" s="75"/>
      <c r="AK51" s="77">
        <f t="shared" ref="AK51:AK56" si="39">IFERROR($AI$7*POWER(10,$AI51/$AI$6),"n.a.")</f>
        <v>1.6493446571864869</v>
      </c>
      <c r="AL51" s="77">
        <f t="shared" ref="AL51:AL56" si="40">IFERROR($AI$7*POWER(10,-$AI51/$AI$6),"n.a.")</f>
        <v>1.188350774024054</v>
      </c>
      <c r="AM51" s="75"/>
      <c r="AN51" s="78" cm="1">
        <f t="array" ref="AN51">1/SUMPRODUCT(_xlfn.POISSON.DIST(ROW($1:$8)-1,$AK51,FALSE)*_xlfn.POISSON.DIST(TRANSPOSE(ROW($1:$8)-1),$AL51,FALSE)*((ROW($1:$8)-1)&gt;(TRANSPOSE(ROW($1:$8)-1))))</f>
        <v>2.0790397088137782</v>
      </c>
      <c r="AO51" s="78" cm="1">
        <f t="array" ref="AO51">1/SUMPRODUCT(_xlfn.POISSON.DIST(ROW($1:$8)-1,$AK51,FALSE)*_xlfn.POISSON.DIST(TRANSPOSE(ROW($1:$8)-1),$AL51,FALSE)*((ROW($1:$8)-1)=(TRANSPOSE(ROW($1:$8)-1))))</f>
        <v>4.1075641621508785</v>
      </c>
      <c r="AP51" s="78" cm="1">
        <f t="array" ref="AP51">1/SUMPRODUCT(_xlfn.POISSON.DIST(ROW($1:$8)-1,$AK51,FALSE)*_xlfn.POISSON.DIST(TRANSPOSE(ROW($1:$8)-1),$AL51,FALSE)*((ROW($1:$8)-1)&lt;(TRANSPOSE(ROW($1:$8)-1))))</f>
        <v>3.6336844149004905</v>
      </c>
      <c r="AQ51" s="75"/>
      <c r="AR51" s="78"/>
      <c r="AS51" s="79">
        <f>1-SUM(1/AN51,1/AO51,1/AP51)</f>
        <v>3.5265262581463119E-4</v>
      </c>
      <c r="AT51" s="148"/>
      <c r="AU51" s="148"/>
      <c r="AV51" s="148"/>
      <c r="AW51" s="148"/>
      <c r="AX51" s="148"/>
      <c r="BA51" s="80">
        <v>1</v>
      </c>
      <c r="BB51" s="80">
        <f>ROUND(BC51,0)</f>
        <v>2</v>
      </c>
      <c r="BC51" s="81">
        <f>MIN(BD51:BD54)</f>
        <v>2.4500000000000002</v>
      </c>
      <c r="BD51" s="82">
        <f>SUM(BV51:BY51)+2.45</f>
        <v>2.4500000000000002</v>
      </c>
      <c r="BE51" s="83" t="str">
        <f>R51</f>
        <v>USA</v>
      </c>
      <c r="BF51" s="51">
        <f>SUM(BJ51:BM51)</f>
        <v>0</v>
      </c>
      <c r="BG51" s="84">
        <f>S51+S53+T55</f>
        <v>0</v>
      </c>
      <c r="BH51" s="51">
        <f>T51+T53+S55</f>
        <v>0</v>
      </c>
      <c r="BI51" s="85">
        <f>BG51-BH51</f>
        <v>0</v>
      </c>
      <c r="BJ51" s="51" t="s">
        <v>71</v>
      </c>
      <c r="BK51" s="51">
        <f>IF(ISBLANK(S51),0,IF(S51&gt;T51,3,IF(S51=T51,1,0)))</f>
        <v>0</v>
      </c>
      <c r="BL51" s="51">
        <f>IF(ISBLANK(S53),0,IF(S53&gt;T53,3,IF(S53=T53,1,0)))</f>
        <v>0</v>
      </c>
      <c r="BM51" s="51">
        <f>IF(ISBLANK(T55),0,IF(T55&gt;S55,3,IF(T55=S55,1,0)))</f>
        <v>0</v>
      </c>
      <c r="BN51" s="84" t="s">
        <v>71</v>
      </c>
      <c r="BO51" s="51" t="b">
        <f>(10*(BI51-BI52)+BG51-BG52&gt;0)</f>
        <v>0</v>
      </c>
      <c r="BP51" s="51" t="b">
        <f>10*(BI51-BI53)+BG51-BG53&gt;0</f>
        <v>0</v>
      </c>
      <c r="BQ51" s="85" t="b">
        <f>10*(BI51-BI54)+BG51-BG54&gt;0</f>
        <v>0</v>
      </c>
      <c r="BR51" s="84">
        <f>10000*(BK51+BL51)+(S53-T53+S51-T51)*100+(S53+S51)</f>
        <v>0</v>
      </c>
      <c r="BS51" s="51">
        <f>10000*(BK51+BM51)+(S51-T51+T55-S55)*100+(S51+T55)</f>
        <v>0</v>
      </c>
      <c r="BT51" s="51">
        <f>10000*(BL51+BM51)+(T55-S55+S53-T53)*100+(T55+S53)</f>
        <v>0</v>
      </c>
      <c r="BU51" s="85" t="s">
        <v>71</v>
      </c>
      <c r="BV51" s="84" t="s">
        <v>71</v>
      </c>
      <c r="BW51" s="86">
        <f>IF($BF51&gt;$BF52,-0.5,IF($BF52&gt;$BF51,0.5,IF(BO51,-0.5,IF(BN52,0.5,CM51))))</f>
        <v>0</v>
      </c>
      <c r="BX51" s="86">
        <f>IF($BF51&gt;$BF53,-0.5,IF($BF53&gt;$BF51,0.5,IF(BP51,-0.5,IF(BN53,0.5,CN51))))</f>
        <v>0</v>
      </c>
      <c r="BY51" s="87">
        <f>IF($BF51&gt;$BF54,-0.5,IF($BF54&gt;$BF51,0.5,IF(BQ51,-0.5,IF(BN54,0.5,CO51))))</f>
        <v>0</v>
      </c>
      <c r="BZ51" s="88" t="b">
        <f>AND(AND(BF51=BF52,BF52=BF53,BF53=BF54),AND(BG51=BG52,BG52=BG53,BG53=BG54),AND(BH51=BH52,BH52=BH53,BH53=BH54))</f>
        <v>1</v>
      </c>
      <c r="CA51" s="88" t="b">
        <f>AND(NOT(BZ51),BF51=BF52,BF51=BF53,BG51=BG52,BG51=BG53,BH51=BH52,BH51=BH53)</f>
        <v>0</v>
      </c>
      <c r="CB51" s="88" t="b">
        <f>AND(NOT(BZ51),BF51=BF52,BF51=BF54,BG51=BG52,BG51=BG54,BH51=BH52,BH51=BH54)</f>
        <v>0</v>
      </c>
      <c r="CC51" s="88" t="b">
        <f>AND(NOT(BZ51),BF51=BF53,BF51=BF54,BG51=BG53,BG51=BG54,BH51=BH53,BH51=BH54)</f>
        <v>0</v>
      </c>
      <c r="CD51" s="88" t="b">
        <f>AND(NOT(BZ51),BF52=BF53,BF52=BF54,BG52=BG53,BG52=BG54,BH52=BH53,BH52=BH54)</f>
        <v>0</v>
      </c>
      <c r="CE51" s="88" t="b">
        <f>AND(NOT(BZ51),NOT(CA51),NOT(CB51),BF51=BF52,BG51=BG52,BH51=BH52)</f>
        <v>0</v>
      </c>
      <c r="CF51" s="88" t="b">
        <f>AND(NOT(BZ51),NOT(CA51),NOT(CC51),BF51=BF53,BG51=BG53,BH51=BH53)</f>
        <v>0</v>
      </c>
      <c r="CG51" s="88" t="b">
        <f>AND(NOT(BZ51),NOT(CB51),NOT(CC51),BF51=BF54,BG51=BG54,BH51=BH54)</f>
        <v>0</v>
      </c>
      <c r="CH51" s="88" t="b">
        <f>AND(NOT(BZ51),NOT(CA51),NOT(CD51),BF52=BF53,BG52=BG53)</f>
        <v>0</v>
      </c>
      <c r="CI51" s="88" t="b">
        <f>AND(NOT(BZ51),NOT(CB51),NOT(CD51),BF52=BF54,BG52=BG54,BH52=BH54)</f>
        <v>0</v>
      </c>
      <c r="CJ51" s="88" t="b">
        <f>AND(NOT(BZ51),NOT(CC51),NOT(CD51),BF53=BF54,BG53=BG54,BH53=BH54)</f>
        <v>0</v>
      </c>
      <c r="CK51" s="88" t="b">
        <f t="array" ref="CK51">AND(NOT(BZ51:CJ51))</f>
        <v>0</v>
      </c>
      <c r="CL51" s="84" t="s">
        <v>71</v>
      </c>
      <c r="CM51" s="51">
        <f>IF($CE51,IF(T51-S51&lt;0,-0.5,IF(S51-T51&lt;0,0.5,0)),IF($CA51,IF($BR51&gt;$BR52,-0.5,IF($BR51&lt;$BR52,0.5,0)),IF($CB51,IF($BS51&gt;$BS52,-0.5, IF($BS51&lt;$BS52,0.5,0)),0)))</f>
        <v>0</v>
      </c>
      <c r="CN51" s="51">
        <f>IF($CF51,IF(T53-S53&lt;0,-0.5,IF(S53-T53&lt;0,0.5,0)),IF($CA51,IF($BR51&gt;$BR53,-0.5,IF($BR51&lt;$BR53,0.5,0)),IF($CC51,IF($BT51&gt;$BT53,-0.5,IF($BT51&lt;$BT53,0.5,0)),0)))</f>
        <v>0</v>
      </c>
      <c r="CO51" s="85">
        <f>IF($CG51,IF(S55-T55&lt;0,-0.5,IF(T55-S55&lt;0,0.5,0)),IF($CB51,IF($BS51&gt;$BS54,-0.5,IF($BS51&lt;$BS54,0.5,0)),IF($CC51,IF($BT51&gt;$BT54,-0.5, IF($BT51&lt;$BT54,0.5,0)),0)))</f>
        <v>0</v>
      </c>
    </row>
    <row r="52" spans="1:93" ht="14.25" customHeight="1" x14ac:dyDescent="0.2">
      <c r="A52" s="49">
        <f t="shared" ref="A52:A56" si="41">IF(OR(ISBLANK(S52),ISBLANK(T52)),1,0)</f>
        <v>1</v>
      </c>
      <c r="C52" s="49">
        <v>6</v>
      </c>
      <c r="D52" s="49" t="s">
        <v>99</v>
      </c>
      <c r="E52" s="49" t="s">
        <v>11</v>
      </c>
      <c r="F52" s="49" t="s">
        <v>95</v>
      </c>
      <c r="G52" s="11" t="str">
        <f t="shared" ref="G52:G56" si="42">R52</f>
        <v>Australia</v>
      </c>
      <c r="H52" s="11">
        <f t="shared" ref="H52:H56" si="43">AN52</f>
        <v>2.7602253916664261</v>
      </c>
      <c r="I52" s="11"/>
      <c r="J52" s="11" t="s">
        <v>35</v>
      </c>
      <c r="K52" s="11">
        <f t="shared" ref="K52:K56" si="44">AO52</f>
        <v>3.9573549666248597</v>
      </c>
      <c r="L52" s="11"/>
      <c r="M52" s="11" t="str">
        <f t="shared" ref="M52:M56" si="45">U52</f>
        <v>Türkiye</v>
      </c>
      <c r="N52" s="11">
        <f t="shared" ref="N52:N56" si="46">AP52</f>
        <v>2.5987382736500506</v>
      </c>
      <c r="O52" s="57"/>
      <c r="P52" s="89">
        <v>46187</v>
      </c>
      <c r="Q52" s="90">
        <v>0.25</v>
      </c>
      <c r="R52" s="146" t="s">
        <v>100</v>
      </c>
      <c r="S52" s="15"/>
      <c r="T52" s="15"/>
      <c r="U52" s="149" t="s">
        <v>101</v>
      </c>
      <c r="V52" s="57"/>
      <c r="W52" s="145">
        <f>BA52</f>
        <v>1</v>
      </c>
      <c r="X52" s="146" t="str">
        <f>INDEX(BE51:BE54,MATCH(BC52,$BD51:$BD54,0))</f>
        <v>Paraguay</v>
      </c>
      <c r="Y52" s="147">
        <f>INDEX(BF51:BF54,MATCH(BC52,$BD51:$BD54,0))</f>
        <v>0</v>
      </c>
      <c r="Z52" s="147">
        <f>INDEX(BG51:BG54,MATCH(BC52,$BD51:$BD54,0))</f>
        <v>0</v>
      </c>
      <c r="AA52" s="147">
        <f>INDEX(BH51:BH54,MATCH(BC52,$BD51:$BD54,0))</f>
        <v>0</v>
      </c>
      <c r="AB52" s="147">
        <f>INDEX(BI51:BI54,MATCH(BC52,$BD51:$BD54,0))</f>
        <v>0</v>
      </c>
      <c r="AC52" s="57"/>
      <c r="AD52" s="57"/>
      <c r="AE52" s="49" t="str">
        <f t="shared" si="36"/>
        <v>Australia</v>
      </c>
      <c r="AF52" s="49" t="str">
        <f t="shared" si="37"/>
        <v>Türkiye</v>
      </c>
      <c r="AG52" s="75">
        <f>_xlfn.XLOOKUP(AE52,'FIFA rankings'!$B:$B,'FIFA rankings'!$D:$D)</f>
        <v>1580.67</v>
      </c>
      <c r="AH52" s="75">
        <f>_xlfn.XLOOKUP(AF52,'FIFA rankings'!$B:$B,'FIFA rankings'!$D:$D)</f>
        <v>1599.04</v>
      </c>
      <c r="AI52" s="76">
        <f t="shared" si="38"/>
        <v>-18.369999999999891</v>
      </c>
      <c r="AJ52" s="75"/>
      <c r="AK52" s="77">
        <f t="shared" si="39"/>
        <v>1.3753691071809382</v>
      </c>
      <c r="AL52" s="77">
        <f t="shared" si="40"/>
        <v>1.4250719968673469</v>
      </c>
      <c r="AM52" s="75"/>
      <c r="AN52" s="78" cm="1">
        <f t="array" ref="AN52">1/SUMPRODUCT(_xlfn.POISSON.DIST(ROW($1:$8)-1,$AK52,FALSE)*_xlfn.POISSON.DIST(TRANSPOSE(ROW($1:$8)-1),$AL52,FALSE)*((ROW($1:$8)-1)&gt;(TRANSPOSE(ROW($1:$8)-1))))</f>
        <v>2.7602253916664261</v>
      </c>
      <c r="AO52" s="78" cm="1">
        <f t="array" ref="AO52">1/SUMPRODUCT(_xlfn.POISSON.DIST(ROW($1:$8)-1,$AK52,FALSE)*_xlfn.POISSON.DIST(TRANSPOSE(ROW($1:$8)-1),$AL52,FALSE)*((ROW($1:$8)-1)=(TRANSPOSE(ROW($1:$8)-1))))</f>
        <v>3.9573549666248597</v>
      </c>
      <c r="AP52" s="78" cm="1">
        <f t="array" ref="AP52">1/SUMPRODUCT(_xlfn.POISSON.DIST(ROW($1:$8)-1,$AK52,FALSE)*_xlfn.POISSON.DIST(TRANSPOSE(ROW($1:$8)-1),$AL52,FALSE)*((ROW($1:$8)-1)&lt;(TRANSPOSE(ROW($1:$8)-1))))</f>
        <v>2.5987382736500506</v>
      </c>
      <c r="AQ52" s="75"/>
      <c r="AR52" s="78"/>
      <c r="AS52" s="79">
        <f t="shared" ref="AS52:AS56" si="47">1-SUM(1/AN52,1/AO52,1/AP52)</f>
        <v>2.1458773362970085E-4</v>
      </c>
      <c r="AT52" s="148"/>
      <c r="AU52" s="148"/>
      <c r="AV52" s="148"/>
      <c r="AW52" s="148"/>
      <c r="AX52" s="148"/>
      <c r="BA52" s="80">
        <f>IF(ROUND(BC52,0)=ROUND(BC51,0),BA51,2)</f>
        <v>1</v>
      </c>
      <c r="BB52" s="80">
        <f>ROUND(BC52,0)</f>
        <v>2</v>
      </c>
      <c r="BC52" s="81">
        <f>MAX(MIN(BD51:BD53),MIN(BD51,BD52,BD54),MIN(BD51,BD53,BD54),MIN(BD52:BD54))</f>
        <v>2.46</v>
      </c>
      <c r="BD52" s="92">
        <f>SUM(BV52:BY52)+2.46</f>
        <v>2.46</v>
      </c>
      <c r="BE52" s="83" t="str">
        <f>U51</f>
        <v>Paraguay</v>
      </c>
      <c r="BF52" s="51">
        <f>SUM(BJ52:BM52)</f>
        <v>0</v>
      </c>
      <c r="BG52" s="84">
        <f>T51+T54+S56</f>
        <v>0</v>
      </c>
      <c r="BH52" s="51">
        <f>S51+S54+T56</f>
        <v>0</v>
      </c>
      <c r="BI52" s="85">
        <f>BG52-BH52</f>
        <v>0</v>
      </c>
      <c r="BJ52" s="51">
        <f>IF(ISBLANK(T51),0,IF(BK51=3,0,IF(BK51=1,1,3)))</f>
        <v>0</v>
      </c>
      <c r="BK52" s="51" t="s">
        <v>71</v>
      </c>
      <c r="BL52" s="51">
        <f>IF(ISBLANK(S56),0,IF(BK53=3,0,IF(BK53=1,1,3)))</f>
        <v>0</v>
      </c>
      <c r="BM52" s="51">
        <f>IF(ISBLANK(T54),0,IF(T54&gt;S54,3,IF(T54=S54,1,0)))</f>
        <v>0</v>
      </c>
      <c r="BN52" s="84" t="b">
        <f>(10*(BI51-BI52)+BG51-BG52&lt;0)</f>
        <v>0</v>
      </c>
      <c r="BO52" s="51" t="s">
        <v>71</v>
      </c>
      <c r="BP52" s="51" t="b">
        <f>10*(BI52-BI53)+BG52-BG53&gt;0</f>
        <v>0</v>
      </c>
      <c r="BQ52" s="85" t="b">
        <f>10*(BI52-BI54)+BG52-BG54&gt;0</f>
        <v>0</v>
      </c>
      <c r="BR52" s="84">
        <f>10000*(BJ52+BL52)+(T51-S51+S56-T56)*100+(T51+S56)</f>
        <v>0</v>
      </c>
      <c r="BS52" s="51">
        <f>10000*(BJ52+BM52)+(T51-S51+T54-S54)*100+(T51+T54)</f>
        <v>0</v>
      </c>
      <c r="BT52" s="51" t="s">
        <v>71</v>
      </c>
      <c r="BU52" s="85">
        <f>10000*(BL52+BM52)+(T54-S54+S56-T56)*100+(T54+S56)</f>
        <v>0</v>
      </c>
      <c r="BV52" s="93">
        <f>-BW51</f>
        <v>0</v>
      </c>
      <c r="BW52" s="51" t="s">
        <v>71</v>
      </c>
      <c r="BX52" s="86">
        <f>IF($BF52&gt;$BF53,-0.5,IF($BF53&gt;$BF52,0.5,IF(BP52,-0.5,IF(BO53,0.5,CN52))))</f>
        <v>0</v>
      </c>
      <c r="BY52" s="87">
        <f>IF($BF52&gt;$BF54,-0.5,IF($BF54&gt;$BF52,0.5,IF(BQ52,-0.5,IF(BO54,0.5,CO52))))</f>
        <v>0</v>
      </c>
      <c r="CL52" s="84"/>
      <c r="CM52" s="51" t="s">
        <v>71</v>
      </c>
      <c r="CN52" s="51">
        <f>IF($CH51,IF(T56-S56&lt;0,-0.5,IF(S56-T56&lt;0,0.5,0)),IF($CA51,IF($BR52&gt;$BR53,-0.5,IF($BR52&lt;$BR53,0.5,0)),IF($CD51,IF($BU52&gt;$BU53,-0.5,IF($BU52&lt;$BU53,0.5,0)),0)))</f>
        <v>0</v>
      </c>
      <c r="CO52" s="85">
        <f>IF($CI51,IF(S54-T54&lt;0,-0.5,IF(T54-S54&lt;0,0.5,0)),IF($CB51,IF($BS52&gt;$BS54,-0.5,IF($BS52&lt;$BS54,0.5,0)),IF($CD51,IF($BU52&gt;$BU54,-0.5,IF($BU52&lt;$BU54,0.5,0)),0)))</f>
        <v>0</v>
      </c>
    </row>
    <row r="53" spans="1:93" ht="14.25" customHeight="1" x14ac:dyDescent="0.25">
      <c r="A53" s="49">
        <f t="shared" si="41"/>
        <v>1</v>
      </c>
      <c r="C53" s="49">
        <v>31</v>
      </c>
      <c r="D53" s="49" t="s">
        <v>102</v>
      </c>
      <c r="E53" s="49" t="s">
        <v>11</v>
      </c>
      <c r="F53" s="49" t="s">
        <v>95</v>
      </c>
      <c r="G53" s="11" t="str">
        <f t="shared" si="42"/>
        <v>USA</v>
      </c>
      <c r="H53" s="11">
        <f t="shared" si="43"/>
        <v>2.3182120048628332</v>
      </c>
      <c r="I53" s="11"/>
      <c r="J53" s="11" t="s">
        <v>35</v>
      </c>
      <c r="K53" s="11">
        <f t="shared" si="44"/>
        <v>4.000088409722462</v>
      </c>
      <c r="L53" s="11"/>
      <c r="M53" s="11" t="str">
        <f t="shared" si="45"/>
        <v>Australia</v>
      </c>
      <c r="N53" s="11">
        <f t="shared" si="46"/>
        <v>3.1408369614800229</v>
      </c>
      <c r="O53" s="57"/>
      <c r="P53" s="68">
        <v>46192</v>
      </c>
      <c r="Q53" s="69">
        <v>0.875</v>
      </c>
      <c r="R53" s="143" t="str">
        <f>R51</f>
        <v>USA</v>
      </c>
      <c r="S53" s="15"/>
      <c r="T53" s="15"/>
      <c r="U53" s="144" t="str">
        <f>R52</f>
        <v>Australia</v>
      </c>
      <c r="V53" s="57"/>
      <c r="W53" s="94">
        <f>BA53</f>
        <v>1</v>
      </c>
      <c r="X53" s="57" t="str">
        <f>INDEX(BE51:BE54,MATCH(BC53,$BD51:$BD54,0))</f>
        <v>Australia</v>
      </c>
      <c r="Y53" s="95">
        <f>INDEX(BF51:BF54,MATCH(BC53,$BD51:$BD54,0))</f>
        <v>0</v>
      </c>
      <c r="Z53" s="95">
        <f>INDEX(BG51:BG54,MATCH(BC53,$BD51:$BD54,0))</f>
        <v>0</v>
      </c>
      <c r="AA53" s="95">
        <f>INDEX(BH51:BH54,MATCH(BC53,$BD51:$BD54,0))</f>
        <v>0</v>
      </c>
      <c r="AB53" s="95">
        <f>INDEX(BI51:BI54,MATCH(BC53,$BD51:$BD54,0))</f>
        <v>0</v>
      </c>
      <c r="AC53" s="57"/>
      <c r="AD53" s="57"/>
      <c r="AE53" s="49" t="str">
        <f t="shared" si="36"/>
        <v>USA</v>
      </c>
      <c r="AF53" s="49" t="str">
        <f t="shared" si="37"/>
        <v>Australia</v>
      </c>
      <c r="AG53" s="75">
        <f>_xlfn.XLOOKUP(AE53,'FIFA rankings'!$B:$B,'FIFA rankings'!$D:$D)</f>
        <v>1673.13</v>
      </c>
      <c r="AH53" s="75">
        <f>_xlfn.XLOOKUP(AF53,'FIFA rankings'!$B:$B,'FIFA rankings'!$D:$D)</f>
        <v>1580.67</v>
      </c>
      <c r="AI53" s="76">
        <f t="shared" si="38"/>
        <v>92.460000000000036</v>
      </c>
      <c r="AJ53" s="75"/>
      <c r="AK53" s="77">
        <f t="shared" si="39"/>
        <v>1.5308331837532334</v>
      </c>
      <c r="AL53" s="77">
        <f t="shared" si="40"/>
        <v>1.2803485192256892</v>
      </c>
      <c r="AM53" s="75"/>
      <c r="AN53" s="78" cm="1">
        <f t="array" ref="AN53">1/SUMPRODUCT(_xlfn.POISSON.DIST(ROW($1:$8)-1,$AK53,FALSE)*_xlfn.POISSON.DIST(TRANSPOSE(ROW($1:$8)-1),$AL53,FALSE)*((ROW($1:$8)-1)&gt;(TRANSPOSE(ROW($1:$8)-1))))</f>
        <v>2.3182120048628332</v>
      </c>
      <c r="AO53" s="78" cm="1">
        <f t="array" ref="AO53">1/SUMPRODUCT(_xlfn.POISSON.DIST(ROW($1:$8)-1,$AK53,FALSE)*_xlfn.POISSON.DIST(TRANSPOSE(ROW($1:$8)-1),$AL53,FALSE)*((ROW($1:$8)-1)=(TRANSPOSE(ROW($1:$8)-1))))</f>
        <v>4.000088409722462</v>
      </c>
      <c r="AP53" s="78" cm="1">
        <f t="array" ref="AP53">1/SUMPRODUCT(_xlfn.POISSON.DIST(ROW($1:$8)-1,$AK53,FALSE)*_xlfn.POISSON.DIST(TRANSPOSE(ROW($1:$8)-1),$AL53,FALSE)*((ROW($1:$8)-1)&lt;(TRANSPOSE(ROW($1:$8)-1))))</f>
        <v>3.1408369614800229</v>
      </c>
      <c r="AQ53" s="75"/>
      <c r="AR53" s="78"/>
      <c r="AS53" s="79">
        <f t="shared" si="47"/>
        <v>2.5212137392915945E-4</v>
      </c>
      <c r="AT53" s="150"/>
      <c r="AU53" s="150"/>
      <c r="AV53" s="150"/>
      <c r="AW53" s="150"/>
      <c r="AX53" s="150"/>
      <c r="BA53" s="80">
        <f>IF(ROUND(BC53,0)=ROUND(BC52,0),BA52,3)</f>
        <v>1</v>
      </c>
      <c r="BB53" s="80">
        <f>ROUND(BC53,0)</f>
        <v>2</v>
      </c>
      <c r="BC53" s="81">
        <f>MIN(MAX(BD51:BD53),MAX(BD51,BD52,BD54),MAX(BD51,BD53,BD54),MAX(BD52:BD54))</f>
        <v>2.4700000000000002</v>
      </c>
      <c r="BD53" s="92">
        <f>SUM(BV53:BY53)+2.47</f>
        <v>2.4700000000000002</v>
      </c>
      <c r="BE53" s="83" t="str">
        <f>R52</f>
        <v>Australia</v>
      </c>
      <c r="BF53" s="51">
        <f>SUM(BJ53:BM53)</f>
        <v>0</v>
      </c>
      <c r="BG53" s="84">
        <f>S52+T53+T56</f>
        <v>0</v>
      </c>
      <c r="BH53" s="51">
        <f>T52+S53+S56</f>
        <v>0</v>
      </c>
      <c r="BI53" s="85">
        <f>BG53-BH53</f>
        <v>0</v>
      </c>
      <c r="BJ53" s="51">
        <f>IF(ISBLANK(T53),0,IF(BL51=3,0,IF(BL51=1,1,3)))</f>
        <v>0</v>
      </c>
      <c r="BK53" s="51">
        <f>IF(ISBLANK(T56),0,IF(T56&gt;S56,3,IF(T56=S56,1,0)))</f>
        <v>0</v>
      </c>
      <c r="BL53" s="51" t="s">
        <v>71</v>
      </c>
      <c r="BM53" s="51">
        <f>IF(ISBLANK(S52),0,IF(S52&gt;T52,3,IF(S52=T52,1,0)))</f>
        <v>0</v>
      </c>
      <c r="BN53" s="84" t="b">
        <f>10*(BI51-BI53)+BG51-BG53&lt;0</f>
        <v>0</v>
      </c>
      <c r="BO53" s="51" t="b">
        <f>10*(BI52-BI53)+BG52-BG53&lt;0</f>
        <v>0</v>
      </c>
      <c r="BP53" s="51" t="s">
        <v>71</v>
      </c>
      <c r="BQ53" s="85" t="b">
        <f>10*(BI53-BI54)+BG53-BG54&gt;0</f>
        <v>0</v>
      </c>
      <c r="BR53" s="84">
        <f>10000*(BJ53+BK53)+(T53-S53+T56-S56)*100+(T53+T56)</f>
        <v>0</v>
      </c>
      <c r="BS53" s="51" t="s">
        <v>71</v>
      </c>
      <c r="BT53" s="51">
        <f>10000*(BJ53+BM53)+(S52-T52+T53-S53)*100+(S52+T53)</f>
        <v>0</v>
      </c>
      <c r="BU53" s="85">
        <f>10000*(BK53+BM53)+(S52-T52+T56-S56)*100+(S52+T56)</f>
        <v>0</v>
      </c>
      <c r="BV53" s="93">
        <f>-BX51</f>
        <v>0</v>
      </c>
      <c r="BW53" s="86">
        <f>-BX52</f>
        <v>0</v>
      </c>
      <c r="BX53" s="86" t="s">
        <v>71</v>
      </c>
      <c r="BY53" s="87">
        <f>IF($BF53&gt;$BF54,-0.5,IF($BF54&gt;$BF53,0.5,IF(BQ53,-0.5,IF(BP54,0.5,CO53))))</f>
        <v>0</v>
      </c>
      <c r="CL53" s="84"/>
      <c r="CM53" s="51"/>
      <c r="CN53" s="51" t="s">
        <v>71</v>
      </c>
      <c r="CO53" s="85">
        <f>IF($CJ51,IF(T52-S52&lt;0,-0.5,IF(S52-T52&lt;0,0.5,0)),IF($CC51,IF($BT53&gt;$BT54,-0.5,IF($BT53&lt;$BT54,0.5,0)),IF($CD51,IF($BU53&gt;$BU54,-0.5,IF($BU53&lt;$BU54,0.5,0)),0)))</f>
        <v>0</v>
      </c>
    </row>
    <row r="54" spans="1:93" ht="14.25" customHeight="1" x14ac:dyDescent="0.25">
      <c r="A54" s="49">
        <f t="shared" si="41"/>
        <v>1</v>
      </c>
      <c r="C54" s="49">
        <v>32</v>
      </c>
      <c r="D54" s="49" t="s">
        <v>103</v>
      </c>
      <c r="E54" s="49" t="s">
        <v>11</v>
      </c>
      <c r="F54" s="49" t="s">
        <v>95</v>
      </c>
      <c r="G54" s="11" t="str">
        <f t="shared" si="42"/>
        <v>Türkiye</v>
      </c>
      <c r="H54" s="11">
        <f t="shared" si="43"/>
        <v>2.3077100250326459</v>
      </c>
      <c r="I54" s="11"/>
      <c r="J54" s="11" t="s">
        <v>35</v>
      </c>
      <c r="K54" s="11">
        <f t="shared" si="44"/>
        <v>4.0031212616202234</v>
      </c>
      <c r="L54" s="11"/>
      <c r="M54" s="11" t="str">
        <f t="shared" si="45"/>
        <v>Paraguay</v>
      </c>
      <c r="N54" s="11">
        <f t="shared" si="46"/>
        <v>3.1584591169368799</v>
      </c>
      <c r="O54" s="57"/>
      <c r="P54" s="89">
        <v>46193</v>
      </c>
      <c r="Q54" s="90">
        <v>0.25</v>
      </c>
      <c r="R54" s="146" t="str">
        <f>U52</f>
        <v>Türkiye</v>
      </c>
      <c r="S54" s="15"/>
      <c r="T54" s="15"/>
      <c r="U54" s="149" t="str">
        <f>U51</f>
        <v>Paraguay</v>
      </c>
      <c r="V54" s="57"/>
      <c r="W54" s="94">
        <f>BA54</f>
        <v>1</v>
      </c>
      <c r="X54" s="57" t="str">
        <f>INDEX(BE51:BE54,MATCH(BC54,$BD51:$BD54,0))</f>
        <v>Türkiye</v>
      </c>
      <c r="Y54" s="95">
        <f>INDEX(BF51:BF54,MATCH(BC54,$BD51:$BD54,0))</f>
        <v>0</v>
      </c>
      <c r="Z54" s="95">
        <f>INDEX(BG51:BG54,MATCH(BC54,$BD51:$BD54,0))</f>
        <v>0</v>
      </c>
      <c r="AA54" s="95">
        <f>INDEX(BH51:BH54,MATCH(BC54,$BD51:$BD54,0))</f>
        <v>0</v>
      </c>
      <c r="AB54" s="95">
        <f>INDEX(BI51:BI54,MATCH(BC54,$BD51:$BD54,0))</f>
        <v>0</v>
      </c>
      <c r="AC54" s="57"/>
      <c r="AD54" s="57"/>
      <c r="AE54" s="49" t="str">
        <f t="shared" si="36"/>
        <v>Türkiye</v>
      </c>
      <c r="AF54" s="49" t="str">
        <f t="shared" si="37"/>
        <v>Paraguay</v>
      </c>
      <c r="AG54" s="75">
        <f>_xlfn.XLOOKUP(AE54,'FIFA rankings'!$B:$B,'FIFA rankings'!$D:$D)</f>
        <v>1599.04</v>
      </c>
      <c r="AH54" s="75">
        <f>_xlfn.XLOOKUP(AF54,'FIFA rankings'!$B:$B,'FIFA rankings'!$D:$D)</f>
        <v>1503.5</v>
      </c>
      <c r="AI54" s="76">
        <f t="shared" si="38"/>
        <v>95.539999999999964</v>
      </c>
      <c r="AJ54" s="75"/>
      <c r="AK54" s="77">
        <f t="shared" si="39"/>
        <v>1.5353958282877942</v>
      </c>
      <c r="AL54" s="77">
        <f t="shared" si="40"/>
        <v>1.2765437836220419</v>
      </c>
      <c r="AM54" s="75"/>
      <c r="AN54" s="78" cm="1">
        <f t="array" ref="AN54">1/SUMPRODUCT(_xlfn.POISSON.DIST(ROW($1:$8)-1,$AK54,FALSE)*_xlfn.POISSON.DIST(TRANSPOSE(ROW($1:$8)-1),$AL54,FALSE)*((ROW($1:$8)-1)&gt;(TRANSPOSE(ROW($1:$8)-1))))</f>
        <v>2.3077100250326459</v>
      </c>
      <c r="AO54" s="78" cm="1">
        <f t="array" ref="AO54">1/SUMPRODUCT(_xlfn.POISSON.DIST(ROW($1:$8)-1,$AK54,FALSE)*_xlfn.POISSON.DIST(TRANSPOSE(ROW($1:$8)-1),$AL54,FALSE)*((ROW($1:$8)-1)=(TRANSPOSE(ROW($1:$8)-1))))</f>
        <v>4.0031212616202234</v>
      </c>
      <c r="AP54" s="78" cm="1">
        <f t="array" ref="AP54">1/SUMPRODUCT(_xlfn.POISSON.DIST(ROW($1:$8)-1,$AK54,FALSE)*_xlfn.POISSON.DIST(TRANSPOSE(ROW($1:$8)-1),$AL54,FALSE)*((ROW($1:$8)-1)&lt;(TRANSPOSE(ROW($1:$8)-1))))</f>
        <v>3.1584591169368799</v>
      </c>
      <c r="AQ54" s="75"/>
      <c r="AR54" s="78"/>
      <c r="AS54" s="79">
        <f t="shared" si="47"/>
        <v>2.5483831306849503E-4</v>
      </c>
      <c r="AT54" s="150"/>
      <c r="AU54" s="150"/>
      <c r="AV54" s="150"/>
      <c r="AW54" s="150"/>
      <c r="AX54" s="150"/>
      <c r="BA54" s="80">
        <f>IF(ROUND(BC54,0)=ROUND(BC53,0),BA53,4)</f>
        <v>1</v>
      </c>
      <c r="BB54" s="80">
        <f>ROUND(BC54,0)</f>
        <v>2</v>
      </c>
      <c r="BC54" s="81">
        <f>MAX(BD51:BD54)</f>
        <v>2.48</v>
      </c>
      <c r="BD54" s="96">
        <f>SUM(BV54:BY54)+2.48</f>
        <v>2.48</v>
      </c>
      <c r="BE54" s="97" t="str">
        <f>U52</f>
        <v>Türkiye</v>
      </c>
      <c r="BF54" s="88">
        <f>SUM(BJ54:BM54)</f>
        <v>0</v>
      </c>
      <c r="BG54" s="98">
        <f>T52+S54+S55</f>
        <v>0</v>
      </c>
      <c r="BH54" s="88">
        <f>S52+T54+T55</f>
        <v>0</v>
      </c>
      <c r="BI54" s="99">
        <f>BG54-BH54</f>
        <v>0</v>
      </c>
      <c r="BJ54" s="88">
        <f>IF(ISBLANK(S55),0,IF(BM51=3,0,IF(BM51=1,1,3)))</f>
        <v>0</v>
      </c>
      <c r="BK54" s="88">
        <f>IF(ISBLANK(S54),0,IF(BM52=3,0,IF(BM52=1,1,3)))</f>
        <v>0</v>
      </c>
      <c r="BL54" s="88">
        <f>IF(ISBLANK(T52),0,IF(BM53=3,0,IF(BM53=1,1,3)))</f>
        <v>0</v>
      </c>
      <c r="BM54" s="88" t="s">
        <v>71</v>
      </c>
      <c r="BN54" s="98" t="b">
        <f>10*(BI51-BI54)+BG51-BG54&lt;0</f>
        <v>0</v>
      </c>
      <c r="BO54" s="88" t="b">
        <f>10*(BI52-BI54)+BG52-BG54&lt;0</f>
        <v>0</v>
      </c>
      <c r="BP54" s="88" t="b">
        <f>10*(BI53-BI54)+BG53-BG54&lt;0</f>
        <v>0</v>
      </c>
      <c r="BQ54" s="99" t="s">
        <v>71</v>
      </c>
      <c r="BR54" s="98" t="s">
        <v>71</v>
      </c>
      <c r="BS54" s="88">
        <f>10000*(BJ54+BK54)+(S54-T54+S55-T55)*100+(S54+S55)</f>
        <v>0</v>
      </c>
      <c r="BT54" s="88">
        <f>10000*(BJ54+BL54)+(S55-T55+T52-S52)*100+(S55+T52)</f>
        <v>0</v>
      </c>
      <c r="BU54" s="99">
        <f>10000*(BK54+BL54)+(S54-T54+T52-S52)*100+(S54+T52)</f>
        <v>0</v>
      </c>
      <c r="BV54" s="100">
        <f>-BY51</f>
        <v>0</v>
      </c>
      <c r="BW54" s="101">
        <f>-BY52</f>
        <v>0</v>
      </c>
      <c r="BX54" s="101">
        <f>-BY53</f>
        <v>0</v>
      </c>
      <c r="BY54" s="99" t="s">
        <v>71</v>
      </c>
      <c r="CL54" s="98"/>
      <c r="CM54" s="88"/>
      <c r="CN54" s="88"/>
      <c r="CO54" s="99" t="s">
        <v>71</v>
      </c>
    </row>
    <row r="55" spans="1:93" ht="14.25" customHeight="1" x14ac:dyDescent="0.2">
      <c r="A55" s="49">
        <f t="shared" si="41"/>
        <v>1</v>
      </c>
      <c r="C55" s="49">
        <v>59</v>
      </c>
      <c r="E55" s="49" t="s">
        <v>11</v>
      </c>
      <c r="F55" s="49" t="s">
        <v>95</v>
      </c>
      <c r="G55" s="11" t="str">
        <f t="shared" si="42"/>
        <v>Türkiye</v>
      </c>
      <c r="H55" s="11">
        <f t="shared" si="43"/>
        <v>3.0389019648187756</v>
      </c>
      <c r="I55" s="11"/>
      <c r="J55" s="11" t="s">
        <v>35</v>
      </c>
      <c r="K55" s="11">
        <f t="shared" si="44"/>
        <v>3.9841060868172211</v>
      </c>
      <c r="L55" s="11"/>
      <c r="M55" s="11" t="str">
        <f t="shared" si="45"/>
        <v>USA</v>
      </c>
      <c r="N55" s="11">
        <f t="shared" si="46"/>
        <v>2.3826626683127565</v>
      </c>
      <c r="O55" s="57"/>
      <c r="P55" s="68">
        <v>46199</v>
      </c>
      <c r="Q55" s="69">
        <v>0.16666666666666666</v>
      </c>
      <c r="R55" s="143" t="str">
        <f>U52</f>
        <v>Türkiye</v>
      </c>
      <c r="S55" s="15"/>
      <c r="T55" s="15"/>
      <c r="U55" s="144" t="str">
        <f>R51</f>
        <v>USA</v>
      </c>
      <c r="V55" s="57"/>
      <c r="W55" s="102"/>
      <c r="X55" s="103" t="str">
        <f>IF(OR(W53&lt;3,W52&lt;2),"TIRAGE AU SORT !!!"," ")</f>
        <v>TIRAGE AU SORT !!!</v>
      </c>
      <c r="Y55" s="102"/>
      <c r="Z55" s="102"/>
      <c r="AA55" s="102"/>
      <c r="AB55" s="102"/>
      <c r="AC55" s="57"/>
      <c r="AD55" s="57"/>
      <c r="AE55" s="49" t="str">
        <f t="shared" si="36"/>
        <v>Türkiye</v>
      </c>
      <c r="AF55" s="49" t="str">
        <f t="shared" si="37"/>
        <v>USA</v>
      </c>
      <c r="AG55" s="75">
        <f>_xlfn.XLOOKUP(AE55,'FIFA rankings'!$B:$B,'FIFA rankings'!$D:$D)</f>
        <v>1599.04</v>
      </c>
      <c r="AH55" s="75">
        <f>_xlfn.XLOOKUP(AF55,'FIFA rankings'!$B:$B,'FIFA rankings'!$D:$D)</f>
        <v>1673.13</v>
      </c>
      <c r="AI55" s="76">
        <f t="shared" si="38"/>
        <v>-74.090000000000146</v>
      </c>
      <c r="AJ55" s="75"/>
      <c r="AK55" s="77">
        <f t="shared" si="39"/>
        <v>1.3032777292707887</v>
      </c>
      <c r="AL55" s="77">
        <f t="shared" si="40"/>
        <v>1.5039004779868841</v>
      </c>
      <c r="AM55" s="75"/>
      <c r="AN55" s="78" cm="1">
        <f t="array" ref="AN55">1/SUMPRODUCT(_xlfn.POISSON.DIST(ROW($1:$8)-1,$AK55,FALSE)*_xlfn.POISSON.DIST(TRANSPOSE(ROW($1:$8)-1),$AL55,FALSE)*((ROW($1:$8)-1)&gt;(TRANSPOSE(ROW($1:$8)-1))))</f>
        <v>3.0389019648187756</v>
      </c>
      <c r="AO55" s="78" cm="1">
        <f t="array" ref="AO55">1/SUMPRODUCT(_xlfn.POISSON.DIST(ROW($1:$8)-1,$AK55,FALSE)*_xlfn.POISSON.DIST(TRANSPOSE(ROW($1:$8)-1),$AL55,FALSE)*((ROW($1:$8)-1)=(TRANSPOSE(ROW($1:$8)-1))))</f>
        <v>3.9841060868172211</v>
      </c>
      <c r="AP55" s="78" cm="1">
        <f t="array" ref="AP55">1/SUMPRODUCT(_xlfn.POISSON.DIST(ROW($1:$8)-1,$AK55,FALSE)*_xlfn.POISSON.DIST(TRANSPOSE(ROW($1:$8)-1),$AL55,FALSE)*((ROW($1:$8)-1)&lt;(TRANSPOSE(ROW($1:$8)-1))))</f>
        <v>2.3826626683127565</v>
      </c>
      <c r="AQ55" s="75"/>
      <c r="AR55" s="78"/>
      <c r="AS55" s="79">
        <f t="shared" si="47"/>
        <v>2.3791992539068385E-4</v>
      </c>
    </row>
    <row r="56" spans="1:93" ht="14.25" customHeight="1" x14ac:dyDescent="0.2">
      <c r="A56" s="49">
        <f t="shared" si="41"/>
        <v>1</v>
      </c>
      <c r="C56" s="49">
        <v>60</v>
      </c>
      <c r="E56" s="49" t="s">
        <v>11</v>
      </c>
      <c r="F56" s="49" t="s">
        <v>95</v>
      </c>
      <c r="G56" s="11" t="str">
        <f t="shared" si="42"/>
        <v>Paraguay</v>
      </c>
      <c r="H56" s="11">
        <f t="shared" si="43"/>
        <v>3.0556218788300127</v>
      </c>
      <c r="I56" s="11"/>
      <c r="J56" s="11" t="s">
        <v>35</v>
      </c>
      <c r="K56" s="11">
        <f t="shared" si="44"/>
        <v>3.9865351344608815</v>
      </c>
      <c r="L56" s="11"/>
      <c r="M56" s="11" t="str">
        <f t="shared" si="45"/>
        <v>Australia</v>
      </c>
      <c r="N56" s="11">
        <f t="shared" si="46"/>
        <v>2.3716357259212972</v>
      </c>
      <c r="O56" s="57"/>
      <c r="P56" s="89">
        <v>46199</v>
      </c>
      <c r="Q56" s="90">
        <v>0.16666666666666666</v>
      </c>
      <c r="R56" s="146" t="str">
        <f>U51</f>
        <v>Paraguay</v>
      </c>
      <c r="S56" s="15"/>
      <c r="T56" s="15"/>
      <c r="U56" s="149" t="str">
        <f>R52</f>
        <v>Australia</v>
      </c>
      <c r="V56" s="57"/>
      <c r="W56" s="95"/>
      <c r="X56" s="57"/>
      <c r="Y56" s="95"/>
      <c r="Z56" s="95"/>
      <c r="AA56" s="95"/>
      <c r="AB56" s="95"/>
      <c r="AC56" s="57"/>
      <c r="AD56" s="57"/>
      <c r="AE56" s="49" t="str">
        <f t="shared" si="36"/>
        <v>Paraguay</v>
      </c>
      <c r="AF56" s="49" t="str">
        <f t="shared" si="37"/>
        <v>Australia</v>
      </c>
      <c r="AG56" s="75">
        <f>_xlfn.XLOOKUP(AE56,'FIFA rankings'!$B:$B,'FIFA rankings'!$D:$D)</f>
        <v>1503.5</v>
      </c>
      <c r="AH56" s="75">
        <f>_xlfn.XLOOKUP(AF56,'FIFA rankings'!$B:$B,'FIFA rankings'!$D:$D)</f>
        <v>1580.67</v>
      </c>
      <c r="AI56" s="76">
        <f t="shared" si="38"/>
        <v>-77.170000000000073</v>
      </c>
      <c r="AJ56" s="75"/>
      <c r="AK56" s="77">
        <f t="shared" si="39"/>
        <v>1.2994048562963301</v>
      </c>
      <c r="AL56" s="77">
        <f t="shared" si="40"/>
        <v>1.5083828496582288</v>
      </c>
      <c r="AM56" s="75"/>
      <c r="AN56" s="78" cm="1">
        <f t="array" ref="AN56">1/SUMPRODUCT(_xlfn.POISSON.DIST(ROW($1:$8)-1,$AK56,FALSE)*_xlfn.POISSON.DIST(TRANSPOSE(ROW($1:$8)-1),$AL56,FALSE)*((ROW($1:$8)-1)&gt;(TRANSPOSE(ROW($1:$8)-1))))</f>
        <v>3.0556218788300127</v>
      </c>
      <c r="AO56" s="78" cm="1">
        <f t="array" ref="AO56">1/SUMPRODUCT(_xlfn.POISSON.DIST(ROW($1:$8)-1,$AK56,FALSE)*_xlfn.POISSON.DIST(TRANSPOSE(ROW($1:$8)-1),$AL56,FALSE)*((ROW($1:$8)-1)=(TRANSPOSE(ROW($1:$8)-1))))</f>
        <v>3.9865351344608815</v>
      </c>
      <c r="AP56" s="78" cm="1">
        <f t="array" ref="AP56">1/SUMPRODUCT(_xlfn.POISSON.DIST(ROW($1:$8)-1,$AK56,FALSE)*_xlfn.POISSON.DIST(TRANSPOSE(ROW($1:$8)-1),$AL56,FALSE)*((ROW($1:$8)-1)&lt;(TRANSPOSE(ROW($1:$8)-1))))</f>
        <v>2.3716357259212972</v>
      </c>
      <c r="AQ56" s="75"/>
      <c r="AR56" s="78"/>
      <c r="AS56" s="79">
        <f t="shared" si="47"/>
        <v>2.4006571839452207E-4</v>
      </c>
    </row>
    <row r="57" spans="1:93" ht="14.25" customHeight="1" x14ac:dyDescent="0.2">
      <c r="F57" s="49"/>
      <c r="G57" s="11"/>
      <c r="H57" s="11"/>
      <c r="I57" s="11"/>
      <c r="J57" s="11"/>
      <c r="K57" s="11"/>
      <c r="L57" s="11"/>
      <c r="M57" s="11"/>
      <c r="N57" s="11"/>
      <c r="O57" s="57"/>
      <c r="P57" s="105"/>
      <c r="Q57" s="106"/>
      <c r="R57" s="57"/>
      <c r="S57" s="57"/>
      <c r="T57" s="57"/>
      <c r="U57" s="57"/>
      <c r="V57" s="57"/>
      <c r="W57" s="95"/>
      <c r="X57" s="57"/>
      <c r="Y57" s="95"/>
      <c r="Z57" s="95"/>
      <c r="AA57" s="95"/>
      <c r="AB57" s="95"/>
      <c r="AC57" s="57"/>
      <c r="AD57" s="57"/>
      <c r="AJ57" s="57"/>
      <c r="AM57" s="57"/>
      <c r="AO57" s="57"/>
      <c r="AQ57" s="57"/>
    </row>
    <row r="58" spans="1:93" ht="14.25" customHeight="1" x14ac:dyDescent="0.2">
      <c r="F58" s="49" t="s">
        <v>104</v>
      </c>
      <c r="G58" s="151" t="str">
        <f>$F58 &amp; " / Odds"</f>
        <v>Group E / Odds</v>
      </c>
      <c r="H58" s="151"/>
      <c r="I58" s="151"/>
      <c r="J58" s="151"/>
      <c r="K58" s="151"/>
      <c r="L58" s="151"/>
      <c r="M58" s="151"/>
      <c r="N58" s="151"/>
      <c r="O58" s="57"/>
      <c r="P58" s="151" t="str">
        <f>$F58 &amp; " / Results"</f>
        <v>Group E / Results</v>
      </c>
      <c r="Q58" s="152"/>
      <c r="R58" s="153"/>
      <c r="S58" s="153"/>
      <c r="T58" s="153"/>
      <c r="U58" s="153"/>
      <c r="V58" s="57"/>
      <c r="W58" s="154"/>
      <c r="X58" s="155" t="str">
        <f>X50</f>
        <v>Ranking</v>
      </c>
      <c r="Y58" s="156" t="s">
        <v>24</v>
      </c>
      <c r="Z58" s="156" t="s">
        <v>25</v>
      </c>
      <c r="AA58" s="156" t="s">
        <v>26</v>
      </c>
      <c r="AB58" s="156" t="str">
        <f>"+/-"</f>
        <v>+/-</v>
      </c>
      <c r="AC58" s="57"/>
      <c r="AD58" s="57"/>
      <c r="AJ58" s="57"/>
      <c r="AM58" s="57"/>
      <c r="AO58" s="57"/>
      <c r="AQ58" s="57"/>
      <c r="BD58" s="63" t="s">
        <v>37</v>
      </c>
      <c r="BE58" s="64" t="s">
        <v>38</v>
      </c>
      <c r="BF58" s="65" t="s">
        <v>24</v>
      </c>
      <c r="BG58" s="66" t="s">
        <v>25</v>
      </c>
      <c r="BH58" s="65" t="s">
        <v>26</v>
      </c>
      <c r="BI58" s="67" t="s">
        <v>39</v>
      </c>
      <c r="BJ58" s="65" t="s">
        <v>40</v>
      </c>
      <c r="BK58" s="65" t="s">
        <v>41</v>
      </c>
      <c r="BL58" s="65" t="s">
        <v>42</v>
      </c>
      <c r="BM58" s="65" t="s">
        <v>43</v>
      </c>
      <c r="BN58" s="66" t="s">
        <v>44</v>
      </c>
      <c r="BO58" s="65" t="s">
        <v>45</v>
      </c>
      <c r="BP58" s="65" t="s">
        <v>46</v>
      </c>
      <c r="BQ58" s="67" t="s">
        <v>47</v>
      </c>
      <c r="BR58" s="66" t="s">
        <v>48</v>
      </c>
      <c r="BS58" s="65" t="s">
        <v>49</v>
      </c>
      <c r="BT58" s="65" t="s">
        <v>50</v>
      </c>
      <c r="BU58" s="67" t="s">
        <v>51</v>
      </c>
      <c r="BV58" s="66" t="s">
        <v>52</v>
      </c>
      <c r="BW58" s="65" t="s">
        <v>53</v>
      </c>
      <c r="BX58" s="65" t="s">
        <v>54</v>
      </c>
      <c r="BY58" s="67" t="s">
        <v>55</v>
      </c>
      <c r="BZ58" s="66" t="s">
        <v>56</v>
      </c>
      <c r="CA58" s="65" t="s">
        <v>48</v>
      </c>
      <c r="CB58" s="65" t="s">
        <v>49</v>
      </c>
      <c r="CC58" s="65" t="s">
        <v>50</v>
      </c>
      <c r="CD58" s="65" t="s">
        <v>51</v>
      </c>
      <c r="CE58" s="65" t="s">
        <v>57</v>
      </c>
      <c r="CF58" s="65" t="s">
        <v>58</v>
      </c>
      <c r="CG58" s="65" t="s">
        <v>59</v>
      </c>
      <c r="CH58" s="65" t="s">
        <v>60</v>
      </c>
      <c r="CI58" s="65" t="s">
        <v>61</v>
      </c>
      <c r="CJ58" s="65" t="s">
        <v>62</v>
      </c>
      <c r="CK58" s="65" t="s">
        <v>63</v>
      </c>
      <c r="CL58" s="66" t="s">
        <v>64</v>
      </c>
      <c r="CM58" s="65" t="s">
        <v>65</v>
      </c>
      <c r="CN58" s="65" t="s">
        <v>66</v>
      </c>
      <c r="CO58" s="67" t="s">
        <v>67</v>
      </c>
    </row>
    <row r="59" spans="1:93" ht="14.25" customHeight="1" x14ac:dyDescent="0.2">
      <c r="A59" s="49">
        <f>IF(OR(ISBLANK(S59),ISBLANK(T59)),1,0)</f>
        <v>1</v>
      </c>
      <c r="C59" s="49">
        <v>9</v>
      </c>
      <c r="D59" s="49" t="s">
        <v>105</v>
      </c>
      <c r="E59" s="49" t="s">
        <v>11</v>
      </c>
      <c r="F59" s="49" t="s">
        <v>104</v>
      </c>
      <c r="G59" s="11" t="str">
        <f>R59</f>
        <v>Germany</v>
      </c>
      <c r="H59" s="11">
        <f>AN59</f>
        <v>1.5371950436366439</v>
      </c>
      <c r="I59" s="11"/>
      <c r="J59" s="11" t="s">
        <v>35</v>
      </c>
      <c r="K59" s="11">
        <f>AO59</f>
        <v>5.0884789329565265</v>
      </c>
      <c r="L59" s="11"/>
      <c r="M59" s="11" t="str">
        <f>U59</f>
        <v>Curaçao</v>
      </c>
      <c r="N59" s="11">
        <f>AP59</f>
        <v>6.6093501948388287</v>
      </c>
      <c r="O59" s="57"/>
      <c r="P59" s="68">
        <v>46187</v>
      </c>
      <c r="Q59" s="69">
        <v>0.79166666666666663</v>
      </c>
      <c r="R59" s="157" t="s">
        <v>106</v>
      </c>
      <c r="S59" s="16"/>
      <c r="T59" s="16"/>
      <c r="U59" s="158" t="s">
        <v>107</v>
      </c>
      <c r="V59" s="57"/>
      <c r="W59" s="159">
        <f>BA59</f>
        <v>1</v>
      </c>
      <c r="X59" s="160" t="str">
        <f>INDEX(BE59:BE62,MATCH(BC59,$BD59:$BD62,0))</f>
        <v>Germany</v>
      </c>
      <c r="Y59" s="161">
        <f>INDEX(BF59:BF62,MATCH(BC59,$BD59:$BD62,0))</f>
        <v>0</v>
      </c>
      <c r="Z59" s="161">
        <f>INDEX(BG59:BG62,MATCH(BC59,$BD59:$BD62,0))</f>
        <v>0</v>
      </c>
      <c r="AA59" s="161">
        <f>INDEX(BH59:BH62,MATCH(BC59,$BD59:$BD62,0))</f>
        <v>0</v>
      </c>
      <c r="AB59" s="161">
        <f>INDEX(BI59:BI62,MATCH(BC59,$BD59:$BD62,0))</f>
        <v>0</v>
      </c>
      <c r="AC59" s="57"/>
      <c r="AD59" s="57"/>
      <c r="AE59" s="49" t="str">
        <f t="shared" ref="AE59:AE64" si="48">R59</f>
        <v>Germany</v>
      </c>
      <c r="AF59" s="49" t="str">
        <f t="shared" ref="AF59:AF64" si="49">U59</f>
        <v>Curaçao</v>
      </c>
      <c r="AG59" s="75">
        <f>_xlfn.XLOOKUP(AE59,'FIFA rankings'!$B:$B,'FIFA rankings'!$D:$D)</f>
        <v>1730.37</v>
      </c>
      <c r="AH59" s="75">
        <f>_xlfn.XLOOKUP(AF59,'FIFA rankings'!$B:$B,'FIFA rankings'!$D:$D)</f>
        <v>1294.6500000000001</v>
      </c>
      <c r="AI59" s="76">
        <f t="shared" ref="AI59:AI64" si="50">IFERROR(AG59-AH59,"n.a.")</f>
        <v>435.7199999999998</v>
      </c>
      <c r="AJ59" s="75"/>
      <c r="AK59" s="77">
        <f t="shared" ref="AK59:AK64" si="51">IFERROR($AI$7*POWER(10,$AI59/$AI$6),"n.a.")</f>
        <v>2.1329132337638366</v>
      </c>
      <c r="AL59" s="77">
        <f t="shared" ref="AL59:AL64" si="52">IFERROR($AI$7*POWER(10,-$AI59/$AI$6),"n.a.")</f>
        <v>0.91893095742169217</v>
      </c>
      <c r="AM59" s="75"/>
      <c r="AN59" s="78" cm="1">
        <f t="array" ref="AN59">1/SUMPRODUCT(_xlfn.POISSON.DIST(ROW($1:$8)-1,$AK59,FALSE)*_xlfn.POISSON.DIST(TRANSPOSE(ROW($1:$8)-1),$AL59,FALSE)*((ROW($1:$8)-1)&gt;(TRANSPOSE(ROW($1:$8)-1))))</f>
        <v>1.5371950436366439</v>
      </c>
      <c r="AO59" s="78" cm="1">
        <f t="array" ref="AO59">1/SUMPRODUCT(_xlfn.POISSON.DIST(ROW($1:$8)-1,$AK59,FALSE)*_xlfn.POISSON.DIST(TRANSPOSE(ROW($1:$8)-1),$AL59,FALSE)*((ROW($1:$8)-1)=(TRANSPOSE(ROW($1:$8)-1))))</f>
        <v>5.0884789329565265</v>
      </c>
      <c r="AP59" s="78" cm="1">
        <f t="array" ref="AP59">1/SUMPRODUCT(_xlfn.POISSON.DIST(ROW($1:$8)-1,$AK59,FALSE)*_xlfn.POISSON.DIST(TRANSPOSE(ROW($1:$8)-1),$AL59,FALSE)*((ROW($1:$8)-1)&lt;(TRANSPOSE(ROW($1:$8)-1))))</f>
        <v>6.6093501948388287</v>
      </c>
      <c r="AQ59" s="75"/>
      <c r="AR59" s="78"/>
      <c r="AS59" s="79">
        <f>1-SUM(1/AN59,1/AO59,1/AP59)</f>
        <v>1.6412789599447031E-3</v>
      </c>
      <c r="BA59" s="80">
        <v>1</v>
      </c>
      <c r="BB59" s="80">
        <f>ROUND(BC59,0)</f>
        <v>2</v>
      </c>
      <c r="BC59" s="81">
        <f>MIN(BD59:BD62)</f>
        <v>2.4500000000000002</v>
      </c>
      <c r="BD59" s="82">
        <f>SUM(BV59:BY59)+2.45</f>
        <v>2.4500000000000002</v>
      </c>
      <c r="BE59" s="83" t="str">
        <f>R59</f>
        <v>Germany</v>
      </c>
      <c r="BF59" s="51">
        <f>SUM(BJ59:BM59)</f>
        <v>0</v>
      </c>
      <c r="BG59" s="84">
        <f>S59+S61+T63</f>
        <v>0</v>
      </c>
      <c r="BH59" s="51">
        <f>T59+T61+S63</f>
        <v>0</v>
      </c>
      <c r="BI59" s="85">
        <f>BG59-BH59</f>
        <v>0</v>
      </c>
      <c r="BJ59" s="51" t="s">
        <v>71</v>
      </c>
      <c r="BK59" s="51">
        <f>IF(ISBLANK(S59),0,IF(S59&gt;T59,3,IF(S59=T59,1,0)))</f>
        <v>0</v>
      </c>
      <c r="BL59" s="51">
        <f>IF(ISBLANK(S61),0,IF(S61&gt;T61,3,IF(S61=T61,1,0)))</f>
        <v>0</v>
      </c>
      <c r="BM59" s="51">
        <f>IF(ISBLANK(T63),0,IF(T63&gt;S63,3,IF(T63=S63,1,0)))</f>
        <v>0</v>
      </c>
      <c r="BN59" s="84" t="s">
        <v>71</v>
      </c>
      <c r="BO59" s="51" t="b">
        <f>(10*(BI59-BI60)+BG59-BG60&gt;0)</f>
        <v>0</v>
      </c>
      <c r="BP59" s="51" t="b">
        <f>10*(BI59-BI61)+BG59-BG61&gt;0</f>
        <v>0</v>
      </c>
      <c r="BQ59" s="85" t="b">
        <f>10*(BI59-BI62)+BG59-BG62&gt;0</f>
        <v>0</v>
      </c>
      <c r="BR59" s="84">
        <f>10000*(BK59+BL59)+(S61-T61+S59-T59)*100+(S61+S59)</f>
        <v>0</v>
      </c>
      <c r="BS59" s="51">
        <f>10000*(BK59+BM59)+(S59-T59+T63-S63)*100+(S59+T63)</f>
        <v>0</v>
      </c>
      <c r="BT59" s="51">
        <f>10000*(BL59+BM59)+(T63-S63+S61-T61)*100+(T63+S61)</f>
        <v>0</v>
      </c>
      <c r="BU59" s="85" t="s">
        <v>71</v>
      </c>
      <c r="BV59" s="84" t="s">
        <v>71</v>
      </c>
      <c r="BW59" s="86">
        <f>IF($BF59&gt;$BF60,-0.5,IF($BF60&gt;$BF59,0.5,IF(BO59,-0.5,IF(BN60,0.5,CM59))))</f>
        <v>0</v>
      </c>
      <c r="BX59" s="86">
        <f>IF($BF59&gt;$BF61,-0.5,IF($BF61&gt;$BF59,0.5,IF(BP59,-0.5,IF(BN61,0.5,CN59))))</f>
        <v>0</v>
      </c>
      <c r="BY59" s="87">
        <f>IF($BF59&gt;$BF62,-0.5,IF($BF62&gt;$BF59,0.5,IF(BQ59,-0.5,IF(BN62,0.5,CO59))))</f>
        <v>0</v>
      </c>
      <c r="BZ59" s="88" t="b">
        <f>AND(AND(BF59=BF60,BF60=BF61,BF61=BF62),AND(BG59=BG60,BG60=BG61,BG61=BG62),AND(BH59=BH60,BH60=BH61,BH61=BH62))</f>
        <v>1</v>
      </c>
      <c r="CA59" s="88" t="b">
        <f>AND(NOT(BZ59),BF59=BF60,BF59=BF61,BG59=BG60,BG59=BG61,BH59=BH60,BH59=BH61)</f>
        <v>0</v>
      </c>
      <c r="CB59" s="88" t="b">
        <f>AND(NOT(BZ59),BF59=BF60,BF59=BF62,BG59=BG60,BG59=BG62,BH59=BH60,BH59=BH62)</f>
        <v>0</v>
      </c>
      <c r="CC59" s="88" t="b">
        <f>AND(NOT(BZ59),BF59=BF61,BF59=BF62,BG59=BG61,BG59=BG62,BH59=BH61,BH59=BH62)</f>
        <v>0</v>
      </c>
      <c r="CD59" s="88" t="b">
        <f>AND(NOT(BZ59),BF60=BF61,BF60=BF62,BG60=BG61,BG60=BG62,BH60=BH61,BH60=BH62)</f>
        <v>0</v>
      </c>
      <c r="CE59" s="88" t="b">
        <f>AND(NOT(BZ59),NOT(CA59),NOT(CB59),BF59=BF60,BG59=BG60,BH59=BH60)</f>
        <v>0</v>
      </c>
      <c r="CF59" s="88" t="b">
        <f>AND(NOT(BZ59),NOT(CA59),NOT(CC59),BF59=BF61,BG59=BG61,BH59=BH61)</f>
        <v>0</v>
      </c>
      <c r="CG59" s="88" t="b">
        <f>AND(NOT(BZ59),NOT(CB59),NOT(CC59),BF59=BF62,BG59=BG62,BH59=BH62)</f>
        <v>0</v>
      </c>
      <c r="CH59" s="88" t="b">
        <f>AND(NOT(BZ59),NOT(CA59),NOT(CD59),BF60=BF61,BG60=BG61)</f>
        <v>0</v>
      </c>
      <c r="CI59" s="88" t="b">
        <f>AND(NOT(BZ59),NOT(CB59),NOT(CD59),BF60=BF62,BG60=BG62,BH60=BH62)</f>
        <v>0</v>
      </c>
      <c r="CJ59" s="88" t="b">
        <f>AND(NOT(BZ59),NOT(CC59),NOT(CD59),BF61=BF62,BG61=BG62,BH61=BH62)</f>
        <v>0</v>
      </c>
      <c r="CK59" s="88" t="b">
        <f t="array" ref="CK59">AND(NOT(BZ59:CJ59))</f>
        <v>0</v>
      </c>
      <c r="CL59" s="84" t="s">
        <v>71</v>
      </c>
      <c r="CM59" s="51">
        <f>IF($CE59,IF(T59-S59&lt;0,-0.5,IF(S59-T59&lt;0,0.5,0)),IF($CA59,IF($BR59&gt;$BR60,-0.5,IF($BR59&lt;$BR60,0.5,0)),IF($CB59,IF($BS59&gt;$BS60,-0.5, IF($BS59&lt;$BS60,0.5,0)),0)))</f>
        <v>0</v>
      </c>
      <c r="CN59" s="51">
        <f>IF($CF59,IF(T61-S61&lt;0,-0.5,IF(S61-T61&lt;0,0.5,0)),IF($CA59,IF($BR59&gt;$BR61,-0.5,IF($BR59&lt;$BR61,0.5,0)),IF($CC59,IF($BT59&gt;$BT61,-0.5,IF($BT59&lt;$BT61,0.5,0)),0)))</f>
        <v>0</v>
      </c>
      <c r="CO59" s="85">
        <f>IF($CG59,IF(S63-T63&lt;0,-0.5,IF(T63-S63&lt;0,0.5,0)),IF($CB59,IF($BS59&gt;$BS62,-0.5,IF($BS59&lt;$BS62,0.5,0)),IF($CC59,IF($BT59&gt;$BT62,-0.5, IF($BT59&lt;$BT62,0.5,0)),0)))</f>
        <v>0</v>
      </c>
    </row>
    <row r="60" spans="1:93" ht="14.25" customHeight="1" x14ac:dyDescent="0.2">
      <c r="A60" s="49">
        <f t="shared" ref="A60:A64" si="53">IF(OR(ISBLANK(S60),ISBLANK(T60)),1,0)</f>
        <v>1</v>
      </c>
      <c r="C60" s="49">
        <v>10</v>
      </c>
      <c r="D60" s="49" t="s">
        <v>108</v>
      </c>
      <c r="E60" s="49" t="s">
        <v>11</v>
      </c>
      <c r="F60" s="49" t="s">
        <v>104</v>
      </c>
      <c r="G60" s="11" t="str">
        <f t="shared" ref="G60:G64" si="54">R60</f>
        <v>Côte d'Ivoire</v>
      </c>
      <c r="H60" s="11">
        <f t="shared" ref="H60:H64" si="55">AN60</f>
        <v>2.9736233059744137</v>
      </c>
      <c r="I60" s="11"/>
      <c r="J60" s="11" t="s">
        <v>35</v>
      </c>
      <c r="K60" s="11">
        <f t="shared" ref="K60:K64" si="56">AO60</f>
        <v>3.9754120433293108</v>
      </c>
      <c r="L60" s="11"/>
      <c r="M60" s="11" t="str">
        <f t="shared" ref="M60:M64" si="57">U60</f>
        <v>Ecuador</v>
      </c>
      <c r="N60" s="11">
        <f t="shared" ref="N60:N64" si="58">AP60</f>
        <v>2.4275768985569299</v>
      </c>
      <c r="O60" s="57"/>
      <c r="P60" s="89">
        <v>46188</v>
      </c>
      <c r="Q60" s="90">
        <v>4.1666666666666664E-2</v>
      </c>
      <c r="R60" s="160" t="s">
        <v>109</v>
      </c>
      <c r="S60" s="16"/>
      <c r="T60" s="16"/>
      <c r="U60" s="162" t="s">
        <v>110</v>
      </c>
      <c r="V60" s="57"/>
      <c r="W60" s="159">
        <f>BA60</f>
        <v>1</v>
      </c>
      <c r="X60" s="160" t="str">
        <f>INDEX(BE59:BE62,MATCH(BC60,$BD59:$BD62,0))</f>
        <v>Curaçao</v>
      </c>
      <c r="Y60" s="161">
        <f>INDEX(BF59:BF62,MATCH(BC60,$BD59:$BD62,0))</f>
        <v>0</v>
      </c>
      <c r="Z60" s="161">
        <f>INDEX(BG59:BG62,MATCH(BC60,$BD59:$BD62,0))</f>
        <v>0</v>
      </c>
      <c r="AA60" s="161">
        <f>INDEX(BH59:BH62,MATCH(BC60,$BD59:$BD62,0))</f>
        <v>0</v>
      </c>
      <c r="AB60" s="161">
        <f>INDEX(BI59:BI62,MATCH(BC60,$BD59:$BD62,0))</f>
        <v>0</v>
      </c>
      <c r="AC60" s="57"/>
      <c r="AD60" s="57"/>
      <c r="AE60" s="49" t="str">
        <f t="shared" si="48"/>
        <v>Côte d'Ivoire</v>
      </c>
      <c r="AF60" s="49" t="str">
        <f t="shared" si="49"/>
        <v>Ecuador</v>
      </c>
      <c r="AG60" s="75">
        <f>_xlfn.XLOOKUP(AE60,'FIFA rankings'!$B:$B,'FIFA rankings'!$D:$D)</f>
        <v>1532.98</v>
      </c>
      <c r="AH60" s="75">
        <f>_xlfn.XLOOKUP(AF60,'FIFA rankings'!$B:$B,'FIFA rankings'!$D:$D)</f>
        <v>1594.78</v>
      </c>
      <c r="AI60" s="76">
        <f t="shared" si="50"/>
        <v>-61.799999999999955</v>
      </c>
      <c r="AJ60" s="75"/>
      <c r="AK60" s="77">
        <f t="shared" si="51"/>
        <v>1.3188467657936744</v>
      </c>
      <c r="AL60" s="77">
        <f t="shared" si="52"/>
        <v>1.4861468753122984</v>
      </c>
      <c r="AM60" s="75"/>
      <c r="AN60" s="78" cm="1">
        <f t="array" ref="AN60">1/SUMPRODUCT(_xlfn.POISSON.DIST(ROW($1:$8)-1,$AK60,FALSE)*_xlfn.POISSON.DIST(TRANSPOSE(ROW($1:$8)-1),$AL60,FALSE)*((ROW($1:$8)-1)&gt;(TRANSPOSE(ROW($1:$8)-1))))</f>
        <v>2.9736233059744137</v>
      </c>
      <c r="AO60" s="78" cm="1">
        <f t="array" ref="AO60">1/SUMPRODUCT(_xlfn.POISSON.DIST(ROW($1:$8)-1,$AK60,FALSE)*_xlfn.POISSON.DIST(TRANSPOSE(ROW($1:$8)-1),$AL60,FALSE)*((ROW($1:$8)-1)=(TRANSPOSE(ROW($1:$8)-1))))</f>
        <v>3.9754120433293108</v>
      </c>
      <c r="AP60" s="78" cm="1">
        <f t="array" ref="AP60">1/SUMPRODUCT(_xlfn.POISSON.DIST(ROW($1:$8)-1,$AK60,FALSE)*_xlfn.POISSON.DIST(TRANSPOSE(ROW($1:$8)-1),$AL60,FALSE)*((ROW($1:$8)-1)&lt;(TRANSPOSE(ROW($1:$8)-1))))</f>
        <v>2.4275768985569299</v>
      </c>
      <c r="AQ60" s="75"/>
      <c r="AR60" s="78"/>
      <c r="AS60" s="79">
        <f t="shared" ref="AS60:AS64" si="59">1-SUM(1/AN60,1/AO60,1/AP60)</f>
        <v>2.3027675635467482E-4</v>
      </c>
      <c r="BA60" s="80">
        <f>IF(ROUND(BC60,0)=ROUND(BC59,0),BA59,2)</f>
        <v>1</v>
      </c>
      <c r="BB60" s="80">
        <f>ROUND(BC60,0)</f>
        <v>2</v>
      </c>
      <c r="BC60" s="81">
        <f>MAX(MIN(BD59:BD61),MIN(BD59,BD60,BD62),MIN(BD59,BD61,BD62),MIN(BD60:BD62))</f>
        <v>2.46</v>
      </c>
      <c r="BD60" s="92">
        <f>SUM(BV60:BY60)+2.46</f>
        <v>2.46</v>
      </c>
      <c r="BE60" s="83" t="str">
        <f>U59</f>
        <v>Curaçao</v>
      </c>
      <c r="BF60" s="51">
        <f>SUM(BJ60:BM60)</f>
        <v>0</v>
      </c>
      <c r="BG60" s="84">
        <f>T59+T62+S64</f>
        <v>0</v>
      </c>
      <c r="BH60" s="51">
        <f>S59+S62+T64</f>
        <v>0</v>
      </c>
      <c r="BI60" s="85">
        <f>BG60-BH60</f>
        <v>0</v>
      </c>
      <c r="BJ60" s="51">
        <f>IF(ISBLANK(T59),0,IF(BK59=3,0,IF(BK59=1,1,3)))</f>
        <v>0</v>
      </c>
      <c r="BK60" s="51" t="s">
        <v>71</v>
      </c>
      <c r="BL60" s="51">
        <f>IF(ISBLANK(S64),0,IF(BK61=3,0,IF(BK61=1,1,3)))</f>
        <v>0</v>
      </c>
      <c r="BM60" s="51">
        <f>IF(ISBLANK(T62),0,IF(T62&gt;S62,3,IF(T62=S62,1,0)))</f>
        <v>0</v>
      </c>
      <c r="BN60" s="84" t="b">
        <f>(10*(BI59-BI60)+BG59-BG60&lt;0)</f>
        <v>0</v>
      </c>
      <c r="BO60" s="51" t="s">
        <v>71</v>
      </c>
      <c r="BP60" s="51" t="b">
        <f>10*(BI60-BI61)+BG60-BG61&gt;0</f>
        <v>0</v>
      </c>
      <c r="BQ60" s="85" t="b">
        <f>10*(BI60-BI62)+BG60-BG62&gt;0</f>
        <v>0</v>
      </c>
      <c r="BR60" s="84">
        <f>10000*(BJ60+BL60)+(T59-S59+S64-T64)*100+(T59+S64)</f>
        <v>0</v>
      </c>
      <c r="BS60" s="51">
        <f>10000*(BJ60+BM60)+(T59-S59+T62-S62)*100+(T59+T62)</f>
        <v>0</v>
      </c>
      <c r="BT60" s="51" t="s">
        <v>71</v>
      </c>
      <c r="BU60" s="85">
        <f>10000*(BL60+BM60)+(T62-S62+S64-T64)*100+(T62+S64)</f>
        <v>0</v>
      </c>
      <c r="BV60" s="93">
        <f>-BW59</f>
        <v>0</v>
      </c>
      <c r="BW60" s="51" t="s">
        <v>71</v>
      </c>
      <c r="BX60" s="86">
        <f>IF($BF60&gt;$BF61,-0.5,IF($BF61&gt;$BF60,0.5,IF(BP60,-0.5,IF(BO61,0.5,CN60))))</f>
        <v>0</v>
      </c>
      <c r="BY60" s="87">
        <f>IF($BF60&gt;$BF62,-0.5,IF($BF62&gt;$BF60,0.5,IF(BQ60,-0.5,IF(BO62,0.5,CO60))))</f>
        <v>0</v>
      </c>
      <c r="CL60" s="84"/>
      <c r="CM60" s="51" t="s">
        <v>71</v>
      </c>
      <c r="CN60" s="51">
        <f>IF($CH59,IF(T64-S64&lt;0,-0.5,IF(S64-T64&lt;0,0.5,0)),IF($CA59,IF($BR60&gt;$BR61,-0.5,IF($BR60&lt;$BR61,0.5,0)),IF($CD59,IF($BU60&gt;$BU61,-0.5,IF($BU60&lt;$BU61,0.5,0)),0)))</f>
        <v>0</v>
      </c>
      <c r="CO60" s="85">
        <f>IF($CI59,IF(S62-T62&lt;0,-0.5,IF(T62-S62&lt;0,0.5,0)),IF($CB59,IF($BS60&gt;$BS62,-0.5,IF($BS60&lt;$BS62,0.5,0)),IF($CD59,IF($BU60&gt;$BU62,-0.5,IF($BU60&lt;$BU62,0.5,0)),0)))</f>
        <v>0</v>
      </c>
    </row>
    <row r="61" spans="1:93" ht="14.25" customHeight="1" x14ac:dyDescent="0.2">
      <c r="A61" s="49">
        <f t="shared" si="53"/>
        <v>1</v>
      </c>
      <c r="C61" s="49">
        <v>33</v>
      </c>
      <c r="D61" s="49" t="s">
        <v>111</v>
      </c>
      <c r="E61" s="49" t="s">
        <v>11</v>
      </c>
      <c r="F61" s="49" t="s">
        <v>104</v>
      </c>
      <c r="G61" s="11" t="str">
        <f t="shared" si="54"/>
        <v>Germany</v>
      </c>
      <c r="H61" s="11">
        <f t="shared" si="55"/>
        <v>2.0040581719043331</v>
      </c>
      <c r="I61" s="11"/>
      <c r="J61" s="11" t="s">
        <v>35</v>
      </c>
      <c r="K61" s="11">
        <f t="shared" si="56"/>
        <v>4.1629248754649648</v>
      </c>
      <c r="L61" s="11"/>
      <c r="M61" s="11" t="str">
        <f t="shared" si="57"/>
        <v>Côte d'Ivoire</v>
      </c>
      <c r="N61" s="11">
        <f t="shared" si="58"/>
        <v>3.8404086305180316</v>
      </c>
      <c r="O61" s="57"/>
      <c r="P61" s="68">
        <v>46193</v>
      </c>
      <c r="Q61" s="69">
        <v>0.91666666666666663</v>
      </c>
      <c r="R61" s="157" t="str">
        <f>R59</f>
        <v>Germany</v>
      </c>
      <c r="S61" s="16"/>
      <c r="T61" s="16"/>
      <c r="U61" s="158" t="str">
        <f>R60</f>
        <v>Côte d'Ivoire</v>
      </c>
      <c r="V61" s="57"/>
      <c r="W61" s="94">
        <f>BA61</f>
        <v>1</v>
      </c>
      <c r="X61" s="57" t="str">
        <f>INDEX(BE59:BE62,MATCH(BC61,$BD59:$BD62,0))</f>
        <v>Côte d'Ivoire</v>
      </c>
      <c r="Y61" s="95">
        <f>INDEX(BF59:BF62,MATCH(BC61,$BD59:$BD62,0))</f>
        <v>0</v>
      </c>
      <c r="Z61" s="95">
        <f>INDEX(BG59:BG62,MATCH(BC61,$BD59:$BD62,0))</f>
        <v>0</v>
      </c>
      <c r="AA61" s="95">
        <f>INDEX(BH59:BH62,MATCH(BC61,$BD59:$BD62,0))</f>
        <v>0</v>
      </c>
      <c r="AB61" s="95">
        <f>INDEX(BI59:BI62,MATCH(BC61,$BD59:$BD62,0))</f>
        <v>0</v>
      </c>
      <c r="AC61" s="57"/>
      <c r="AD61" s="57"/>
      <c r="AE61" s="49" t="str">
        <f t="shared" si="48"/>
        <v>Germany</v>
      </c>
      <c r="AF61" s="49" t="str">
        <f t="shared" si="49"/>
        <v>Côte d'Ivoire</v>
      </c>
      <c r="AG61" s="75">
        <f>_xlfn.XLOOKUP(AE61,'FIFA rankings'!$B:$B,'FIFA rankings'!$D:$D)</f>
        <v>1730.37</v>
      </c>
      <c r="AH61" s="75">
        <f>_xlfn.XLOOKUP(AF61,'FIFA rankings'!$B:$B,'FIFA rankings'!$D:$D)</f>
        <v>1532.98</v>
      </c>
      <c r="AI61" s="76">
        <f t="shared" si="50"/>
        <v>197.38999999999987</v>
      </c>
      <c r="AJ61" s="75"/>
      <c r="AK61" s="77">
        <f t="shared" si="51"/>
        <v>1.6941840926805687</v>
      </c>
      <c r="AL61" s="77">
        <f t="shared" si="52"/>
        <v>1.1568990692734296</v>
      </c>
      <c r="AM61" s="75"/>
      <c r="AN61" s="78" cm="1">
        <f t="array" ref="AN61">1/SUMPRODUCT(_xlfn.POISSON.DIST(ROW($1:$8)-1,$AK61,FALSE)*_xlfn.POISSON.DIST(TRANSPOSE(ROW($1:$8)-1),$AL61,FALSE)*((ROW($1:$8)-1)&gt;(TRANSPOSE(ROW($1:$8)-1))))</f>
        <v>2.0040581719043331</v>
      </c>
      <c r="AO61" s="78" cm="1">
        <f t="array" ref="AO61">1/SUMPRODUCT(_xlfn.POISSON.DIST(ROW($1:$8)-1,$AK61,FALSE)*_xlfn.POISSON.DIST(TRANSPOSE(ROW($1:$8)-1),$AL61,FALSE)*((ROW($1:$8)-1)=(TRANSPOSE(ROW($1:$8)-1))))</f>
        <v>4.1629248754649648</v>
      </c>
      <c r="AP61" s="78" cm="1">
        <f t="array" ref="AP61">1/SUMPRODUCT(_xlfn.POISSON.DIST(ROW($1:$8)-1,$AK61,FALSE)*_xlfn.POISSON.DIST(TRANSPOSE(ROW($1:$8)-1),$AL61,FALSE)*((ROW($1:$8)-1)&lt;(TRANSPOSE(ROW($1:$8)-1))))</f>
        <v>3.8404086305180316</v>
      </c>
      <c r="AQ61" s="75"/>
      <c r="AR61" s="78"/>
      <c r="AS61" s="79">
        <f t="shared" si="59"/>
        <v>4.0781006802670383E-4</v>
      </c>
      <c r="BA61" s="80">
        <f>IF(ROUND(BC61,0)=ROUND(BC60,0),BA60,3)</f>
        <v>1</v>
      </c>
      <c r="BB61" s="80">
        <f>ROUND(BC61,0)</f>
        <v>2</v>
      </c>
      <c r="BC61" s="81">
        <f>MIN(MAX(BD59:BD61),MAX(BD59,BD60,BD62),MAX(BD59,BD61,BD62),MAX(BD60:BD62))</f>
        <v>2.4700000000000002</v>
      </c>
      <c r="BD61" s="92">
        <f>SUM(BV61:BY61)+2.47</f>
        <v>2.4700000000000002</v>
      </c>
      <c r="BE61" s="83" t="str">
        <f>R60</f>
        <v>Côte d'Ivoire</v>
      </c>
      <c r="BF61" s="51">
        <f>SUM(BJ61:BM61)</f>
        <v>0</v>
      </c>
      <c r="BG61" s="84">
        <f>S60+T61+T64</f>
        <v>0</v>
      </c>
      <c r="BH61" s="51">
        <f>T60+S61+S64</f>
        <v>0</v>
      </c>
      <c r="BI61" s="85">
        <f>BG61-BH61</f>
        <v>0</v>
      </c>
      <c r="BJ61" s="51">
        <f>IF(ISBLANK(T61),0,IF(BL59=3,0,IF(BL59=1,1,3)))</f>
        <v>0</v>
      </c>
      <c r="BK61" s="51">
        <f>IF(ISBLANK(T64),0,IF(T64&gt;S64,3,IF(T64=S64,1,0)))</f>
        <v>0</v>
      </c>
      <c r="BL61" s="51" t="s">
        <v>71</v>
      </c>
      <c r="BM61" s="51">
        <f>IF(ISBLANK(S60),0,IF(S60&gt;T60,3,IF(S60=T60,1,0)))</f>
        <v>0</v>
      </c>
      <c r="BN61" s="84" t="b">
        <f>10*(BI59-BI61)+BG59-BG61&lt;0</f>
        <v>0</v>
      </c>
      <c r="BO61" s="51" t="b">
        <f>10*(BI60-BI61)+BG60-BG61&lt;0</f>
        <v>0</v>
      </c>
      <c r="BP61" s="51" t="s">
        <v>71</v>
      </c>
      <c r="BQ61" s="85" t="b">
        <f>10*(BI61-BI62)+BG61-BG62&gt;0</f>
        <v>0</v>
      </c>
      <c r="BR61" s="84">
        <f>10000*(BJ61+BK61)+(T61-S61+T64-S64)*100+(T61+T64)</f>
        <v>0</v>
      </c>
      <c r="BS61" s="51" t="s">
        <v>71</v>
      </c>
      <c r="BT61" s="51">
        <f>10000*(BJ61+BM61)+(S60-T60+T61-S61)*100+(S60+T61)</f>
        <v>0</v>
      </c>
      <c r="BU61" s="85">
        <f>10000*(BK61+BM61)+(S60-T60+T64-S64)*100+(S60+T64)</f>
        <v>0</v>
      </c>
      <c r="BV61" s="93">
        <f>-BX59</f>
        <v>0</v>
      </c>
      <c r="BW61" s="86">
        <f>-BX60</f>
        <v>0</v>
      </c>
      <c r="BX61" s="86" t="s">
        <v>71</v>
      </c>
      <c r="BY61" s="87">
        <f>IF($BF61&gt;$BF62,-0.5,IF($BF62&gt;$BF61,0.5,IF(BQ61,-0.5,IF(BP62,0.5,CO61))))</f>
        <v>0</v>
      </c>
      <c r="CL61" s="84"/>
      <c r="CM61" s="51"/>
      <c r="CN61" s="51" t="s">
        <v>71</v>
      </c>
      <c r="CO61" s="85">
        <f>IF($CJ59,IF(T60-S60&lt;0,-0.5,IF(S60-T60&lt;0,0.5,0)),IF($CC59,IF($BT61&gt;$BT62,-0.5,IF($BT61&lt;$BT62,0.5,0)),IF($CD59,IF($BU61&gt;$BU62,-0.5,IF($BU61&lt;$BU62,0.5,0)),0)))</f>
        <v>0</v>
      </c>
    </row>
    <row r="62" spans="1:93" ht="14.25" customHeight="1" x14ac:dyDescent="0.2">
      <c r="A62" s="49">
        <f t="shared" si="53"/>
        <v>1</v>
      </c>
      <c r="C62" s="49">
        <v>34</v>
      </c>
      <c r="D62" s="49" t="s">
        <v>112</v>
      </c>
      <c r="E62" s="49" t="s">
        <v>11</v>
      </c>
      <c r="F62" s="49" t="s">
        <v>104</v>
      </c>
      <c r="G62" s="11" t="str">
        <f t="shared" si="54"/>
        <v>Ecuador</v>
      </c>
      <c r="H62" s="11">
        <f t="shared" si="55"/>
        <v>1.7683773687358542</v>
      </c>
      <c r="I62" s="11"/>
      <c r="J62" s="11" t="s">
        <v>35</v>
      </c>
      <c r="K62" s="11">
        <f t="shared" si="56"/>
        <v>4.4535606348053296</v>
      </c>
      <c r="L62" s="11"/>
      <c r="M62" s="11" t="str">
        <f t="shared" si="57"/>
        <v>Curaçao</v>
      </c>
      <c r="N62" s="11">
        <f t="shared" si="58"/>
        <v>4.7792766622854321</v>
      </c>
      <c r="O62" s="57"/>
      <c r="P62" s="89">
        <v>46194</v>
      </c>
      <c r="Q62" s="90">
        <v>8.3333333333333329E-2</v>
      </c>
      <c r="R62" s="160" t="str">
        <f>U60</f>
        <v>Ecuador</v>
      </c>
      <c r="S62" s="16"/>
      <c r="T62" s="16"/>
      <c r="U62" s="162" t="str">
        <f>U59</f>
        <v>Curaçao</v>
      </c>
      <c r="V62" s="57"/>
      <c r="W62" s="94">
        <f>BA62</f>
        <v>1</v>
      </c>
      <c r="X62" s="57" t="str">
        <f>INDEX(BE59:BE62,MATCH(BC62,$BD59:$BD62,0))</f>
        <v>Ecuador</v>
      </c>
      <c r="Y62" s="95">
        <f>INDEX(BF59:BF62,MATCH(BC62,$BD59:$BD62,0))</f>
        <v>0</v>
      </c>
      <c r="Z62" s="95">
        <f>INDEX(BG59:BG62,MATCH(BC62,$BD59:$BD62,0))</f>
        <v>0</v>
      </c>
      <c r="AA62" s="95">
        <f>INDEX(BH59:BH62,MATCH(BC62,$BD59:$BD62,0))</f>
        <v>0</v>
      </c>
      <c r="AB62" s="95">
        <f>INDEX(BI59:BI62,MATCH(BC62,$BD59:$BD62,0))</f>
        <v>0</v>
      </c>
      <c r="AC62" s="57"/>
      <c r="AD62" s="57"/>
      <c r="AE62" s="49" t="str">
        <f t="shared" si="48"/>
        <v>Ecuador</v>
      </c>
      <c r="AF62" s="49" t="str">
        <f t="shared" si="49"/>
        <v>Curaçao</v>
      </c>
      <c r="AG62" s="75">
        <f>_xlfn.XLOOKUP(AE62,'FIFA rankings'!$B:$B,'FIFA rankings'!$D:$D)</f>
        <v>1594.78</v>
      </c>
      <c r="AH62" s="75">
        <f>_xlfn.XLOOKUP(AF62,'FIFA rankings'!$B:$B,'FIFA rankings'!$D:$D)</f>
        <v>1294.6500000000001</v>
      </c>
      <c r="AI62" s="76">
        <f t="shared" si="50"/>
        <v>300.12999999999988</v>
      </c>
      <c r="AJ62" s="75"/>
      <c r="AK62" s="77">
        <f t="shared" si="51"/>
        <v>1.8710023021494822</v>
      </c>
      <c r="AL62" s="77">
        <f t="shared" si="52"/>
        <v>1.047566856410745</v>
      </c>
      <c r="AM62" s="75"/>
      <c r="AN62" s="78" cm="1">
        <f t="array" ref="AN62">1/SUMPRODUCT(_xlfn.POISSON.DIST(ROW($1:$8)-1,$AK62,FALSE)*_xlfn.POISSON.DIST(TRANSPOSE(ROW($1:$8)-1),$AL62,FALSE)*((ROW($1:$8)-1)&gt;(TRANSPOSE(ROW($1:$8)-1))))</f>
        <v>1.7683773687358542</v>
      </c>
      <c r="AO62" s="78" cm="1">
        <f t="array" ref="AO62">1/SUMPRODUCT(_xlfn.POISSON.DIST(ROW($1:$8)-1,$AK62,FALSE)*_xlfn.POISSON.DIST(TRANSPOSE(ROW($1:$8)-1),$AL62,FALSE)*((ROW($1:$8)-1)=(TRANSPOSE(ROW($1:$8)-1))))</f>
        <v>4.4535606348053296</v>
      </c>
      <c r="AP62" s="78" cm="1">
        <f t="array" ref="AP62">1/SUMPRODUCT(_xlfn.POISSON.DIST(ROW($1:$8)-1,$AK62,FALSE)*_xlfn.POISSON.DIST(TRANSPOSE(ROW($1:$8)-1),$AL62,FALSE)*((ROW($1:$8)-1)&lt;(TRANSPOSE(ROW($1:$8)-1))))</f>
        <v>4.7792766622854321</v>
      </c>
      <c r="AQ62" s="75"/>
      <c r="AR62" s="78"/>
      <c r="AS62" s="79">
        <f t="shared" si="59"/>
        <v>7.3371928259902131E-4</v>
      </c>
      <c r="BA62" s="80">
        <f>IF(ROUND(BC62,0)=ROUND(BC61,0),BA61,4)</f>
        <v>1</v>
      </c>
      <c r="BB62" s="80">
        <f>ROUND(BC62,0)</f>
        <v>2</v>
      </c>
      <c r="BC62" s="81">
        <f>MAX(BD59:BD62)</f>
        <v>2.48</v>
      </c>
      <c r="BD62" s="96">
        <f>SUM(BV62:BY62)+2.48</f>
        <v>2.48</v>
      </c>
      <c r="BE62" s="97" t="str">
        <f>U60</f>
        <v>Ecuador</v>
      </c>
      <c r="BF62" s="88">
        <f>SUM(BJ62:BM62)</f>
        <v>0</v>
      </c>
      <c r="BG62" s="98">
        <f>T60+S62+S63</f>
        <v>0</v>
      </c>
      <c r="BH62" s="88">
        <f>S60+T62+T63</f>
        <v>0</v>
      </c>
      <c r="BI62" s="99">
        <f>BG62-BH62</f>
        <v>0</v>
      </c>
      <c r="BJ62" s="88">
        <f>IF(ISBLANK(S63),0,IF(BM59=3,0,IF(BM59=1,1,3)))</f>
        <v>0</v>
      </c>
      <c r="BK62" s="88">
        <f>IF(ISBLANK(S62),0,IF(BM60=3,0,IF(BM60=1,1,3)))</f>
        <v>0</v>
      </c>
      <c r="BL62" s="88">
        <f>IF(ISBLANK(T60),0,IF(BM61=3,0,IF(BM61=1,1,3)))</f>
        <v>0</v>
      </c>
      <c r="BM62" s="88" t="s">
        <v>71</v>
      </c>
      <c r="BN62" s="98" t="b">
        <f>10*(BI59-BI62)+BG59-BG62&lt;0</f>
        <v>0</v>
      </c>
      <c r="BO62" s="88" t="b">
        <f>10*(BI60-BI62)+BG60-BG62&lt;0</f>
        <v>0</v>
      </c>
      <c r="BP62" s="88" t="b">
        <f>10*(BI61-BI62)+BG61-BG62&lt;0</f>
        <v>0</v>
      </c>
      <c r="BQ62" s="99" t="s">
        <v>71</v>
      </c>
      <c r="BR62" s="98" t="s">
        <v>71</v>
      </c>
      <c r="BS62" s="88">
        <f>10000*(BJ62+BK62)+(S62-T62+S63-T63)*100+(S62+S63)</f>
        <v>0</v>
      </c>
      <c r="BT62" s="88">
        <f>10000*(BJ62+BL62)+(S63-T63+T60-S60)*100+(S63+T60)</f>
        <v>0</v>
      </c>
      <c r="BU62" s="99">
        <f>10000*(BK62+BL62)+(S62-T62+T60-S60)*100+(S62+T60)</f>
        <v>0</v>
      </c>
      <c r="BV62" s="100">
        <f>-BY59</f>
        <v>0</v>
      </c>
      <c r="BW62" s="101">
        <f>-BY60</f>
        <v>0</v>
      </c>
      <c r="BX62" s="101">
        <f>-BY61</f>
        <v>0</v>
      </c>
      <c r="BY62" s="99" t="s">
        <v>71</v>
      </c>
      <c r="CL62" s="98"/>
      <c r="CM62" s="88"/>
      <c r="CN62" s="88"/>
      <c r="CO62" s="99" t="s">
        <v>71</v>
      </c>
    </row>
    <row r="63" spans="1:93" ht="14.25" customHeight="1" x14ac:dyDescent="0.2">
      <c r="A63" s="49">
        <f t="shared" si="53"/>
        <v>1</v>
      </c>
      <c r="C63" s="49">
        <v>55</v>
      </c>
      <c r="E63" s="49" t="s">
        <v>11</v>
      </c>
      <c r="F63" s="49" t="s">
        <v>104</v>
      </c>
      <c r="G63" s="11" t="str">
        <f t="shared" si="54"/>
        <v>Ecuador</v>
      </c>
      <c r="H63" s="11">
        <f t="shared" si="55"/>
        <v>3.4024979308639089</v>
      </c>
      <c r="I63" s="11"/>
      <c r="J63" s="11" t="s">
        <v>35</v>
      </c>
      <c r="K63" s="11">
        <f t="shared" si="56"/>
        <v>4.0519565618102833</v>
      </c>
      <c r="L63" s="11"/>
      <c r="M63" s="11" t="str">
        <f t="shared" si="57"/>
        <v>Germany</v>
      </c>
      <c r="N63" s="11">
        <f t="shared" si="58"/>
        <v>2.1786284714617747</v>
      </c>
      <c r="O63" s="57"/>
      <c r="P63" s="68">
        <v>46198</v>
      </c>
      <c r="Q63" s="69">
        <v>0.91666666666666663</v>
      </c>
      <c r="R63" s="157" t="str">
        <f>U60</f>
        <v>Ecuador</v>
      </c>
      <c r="S63" s="16"/>
      <c r="T63" s="16"/>
      <c r="U63" s="158" t="str">
        <f>R59</f>
        <v>Germany</v>
      </c>
      <c r="V63" s="57"/>
      <c r="W63" s="102"/>
      <c r="X63" s="103" t="str">
        <f>IF(OR(W61&lt;3,W60&lt;2),"TIRAGE AU SORT !!!"," ")</f>
        <v>TIRAGE AU SORT !!!</v>
      </c>
      <c r="Y63" s="102"/>
      <c r="Z63" s="102"/>
      <c r="AA63" s="102"/>
      <c r="AB63" s="102"/>
      <c r="AC63" s="57"/>
      <c r="AD63" s="57"/>
      <c r="AE63" s="49" t="str">
        <f t="shared" si="48"/>
        <v>Ecuador</v>
      </c>
      <c r="AF63" s="49" t="str">
        <f t="shared" si="49"/>
        <v>Germany</v>
      </c>
      <c r="AG63" s="75">
        <f>_xlfn.XLOOKUP(AE63,'FIFA rankings'!$B:$B,'FIFA rankings'!$D:$D)</f>
        <v>1594.78</v>
      </c>
      <c r="AH63" s="75">
        <f>_xlfn.XLOOKUP(AF63,'FIFA rankings'!$B:$B,'FIFA rankings'!$D:$D)</f>
        <v>1730.37</v>
      </c>
      <c r="AI63" s="76">
        <f t="shared" si="50"/>
        <v>-135.58999999999992</v>
      </c>
      <c r="AJ63" s="75"/>
      <c r="AK63" s="77">
        <f t="shared" si="51"/>
        <v>1.2280870977517244</v>
      </c>
      <c r="AL63" s="77">
        <f t="shared" si="52"/>
        <v>1.5959780080648989</v>
      </c>
      <c r="AM63" s="75"/>
      <c r="AN63" s="78" cm="1">
        <f t="array" ref="AN63">1/SUMPRODUCT(_xlfn.POISSON.DIST(ROW($1:$8)-1,$AK63,FALSE)*_xlfn.POISSON.DIST(TRANSPOSE(ROW($1:$8)-1),$AL63,FALSE)*((ROW($1:$8)-1)&gt;(TRANSPOSE(ROW($1:$8)-1))))</f>
        <v>3.4024979308639089</v>
      </c>
      <c r="AO63" s="78" cm="1">
        <f t="array" ref="AO63">1/SUMPRODUCT(_xlfn.POISSON.DIST(ROW($1:$8)-1,$AK63,FALSE)*_xlfn.POISSON.DIST(TRANSPOSE(ROW($1:$8)-1),$AL63,FALSE)*((ROW($1:$8)-1)=(TRANSPOSE(ROW($1:$8)-1))))</f>
        <v>4.0519565618102833</v>
      </c>
      <c r="AP63" s="78" cm="1">
        <f t="array" ref="AP63">1/SUMPRODUCT(_xlfn.POISSON.DIST(ROW($1:$8)-1,$AK63,FALSE)*_xlfn.POISSON.DIST(TRANSPOSE(ROW($1:$8)-1),$AL63,FALSE)*((ROW($1:$8)-1)&lt;(TRANSPOSE(ROW($1:$8)-1))))</f>
        <v>2.1786284714617747</v>
      </c>
      <c r="AQ63" s="75"/>
      <c r="AR63" s="78"/>
      <c r="AS63" s="79">
        <f t="shared" si="59"/>
        <v>2.9954976329826799E-4</v>
      </c>
    </row>
    <row r="64" spans="1:93" ht="14.25" customHeight="1" x14ac:dyDescent="0.2">
      <c r="A64" s="49">
        <f t="shared" si="53"/>
        <v>1</v>
      </c>
      <c r="C64" s="49">
        <v>56</v>
      </c>
      <c r="E64" s="49" t="s">
        <v>11</v>
      </c>
      <c r="F64" s="49" t="s">
        <v>104</v>
      </c>
      <c r="G64" s="11" t="str">
        <f t="shared" si="54"/>
        <v>Curaçao</v>
      </c>
      <c r="H64" s="11">
        <f t="shared" si="55"/>
        <v>4.17896951418673</v>
      </c>
      <c r="I64" s="11"/>
      <c r="J64" s="11" t="s">
        <v>35</v>
      </c>
      <c r="K64" s="11">
        <f t="shared" si="56"/>
        <v>4.2618729414122427</v>
      </c>
      <c r="L64" s="11"/>
      <c r="M64" s="11" t="str">
        <f t="shared" si="57"/>
        <v>Côte d'Ivoire</v>
      </c>
      <c r="N64" s="11">
        <f t="shared" si="58"/>
        <v>1.9027470313999206</v>
      </c>
      <c r="O64" s="57"/>
      <c r="P64" s="89">
        <v>46198</v>
      </c>
      <c r="Q64" s="90">
        <v>0.91666666666666663</v>
      </c>
      <c r="R64" s="160" t="str">
        <f>U59</f>
        <v>Curaçao</v>
      </c>
      <c r="S64" s="16"/>
      <c r="T64" s="16"/>
      <c r="U64" s="162" t="str">
        <f>R60</f>
        <v>Côte d'Ivoire</v>
      </c>
      <c r="V64" s="57"/>
      <c r="W64" s="95"/>
      <c r="X64" s="57"/>
      <c r="Y64" s="95"/>
      <c r="Z64" s="95"/>
      <c r="AA64" s="95"/>
      <c r="AB64" s="95"/>
      <c r="AC64" s="57"/>
      <c r="AD64" s="57"/>
      <c r="AE64" s="49" t="str">
        <f t="shared" si="48"/>
        <v>Curaçao</v>
      </c>
      <c r="AF64" s="49" t="str">
        <f t="shared" si="49"/>
        <v>Côte d'Ivoire</v>
      </c>
      <c r="AG64" s="75">
        <f>_xlfn.XLOOKUP(AE64,'FIFA rankings'!$B:$B,'FIFA rankings'!$D:$D)</f>
        <v>1294.6500000000001</v>
      </c>
      <c r="AH64" s="75">
        <f>_xlfn.XLOOKUP(AF64,'FIFA rankings'!$B:$B,'FIFA rankings'!$D:$D)</f>
        <v>1532.98</v>
      </c>
      <c r="AI64" s="76">
        <f t="shared" si="50"/>
        <v>-238.32999999999993</v>
      </c>
      <c r="AJ64" s="75"/>
      <c r="AK64" s="77">
        <f t="shared" si="51"/>
        <v>1.1120272930968256</v>
      </c>
      <c r="AL64" s="77">
        <f t="shared" si="52"/>
        <v>1.7625466678445454</v>
      </c>
      <c r="AM64" s="75"/>
      <c r="AN64" s="78" cm="1">
        <f t="array" ref="AN64">1/SUMPRODUCT(_xlfn.POISSON.DIST(ROW($1:$8)-1,$AK64,FALSE)*_xlfn.POISSON.DIST(TRANSPOSE(ROW($1:$8)-1),$AL64,FALSE)*((ROW($1:$8)-1)&gt;(TRANSPOSE(ROW($1:$8)-1))))</f>
        <v>4.17896951418673</v>
      </c>
      <c r="AO64" s="78" cm="1">
        <f t="array" ref="AO64">1/SUMPRODUCT(_xlfn.POISSON.DIST(ROW($1:$8)-1,$AK64,FALSE)*_xlfn.POISSON.DIST(TRANSPOSE(ROW($1:$8)-1),$AL64,FALSE)*((ROW($1:$8)-1)=(TRANSPOSE(ROW($1:$8)-1))))</f>
        <v>4.2618729414122427</v>
      </c>
      <c r="AP64" s="78" cm="1">
        <f t="array" ref="AP64">1/SUMPRODUCT(_xlfn.POISSON.DIST(ROW($1:$8)-1,$AK64,FALSE)*_xlfn.POISSON.DIST(TRANSPOSE(ROW($1:$8)-1),$AL64,FALSE)*((ROW($1:$8)-1)&lt;(TRANSPOSE(ROW($1:$8)-1))))</f>
        <v>1.9027470313999206</v>
      </c>
      <c r="AQ64" s="75"/>
      <c r="AR64" s="78"/>
      <c r="AS64" s="79">
        <f t="shared" si="59"/>
        <v>5.1199684833069803E-4</v>
      </c>
    </row>
    <row r="65" spans="1:93" ht="14.25" customHeight="1" x14ac:dyDescent="0.2">
      <c r="F65" s="49"/>
      <c r="G65" s="11"/>
      <c r="H65" s="11"/>
      <c r="I65" s="11"/>
      <c r="J65" s="11"/>
      <c r="K65" s="11"/>
      <c r="L65" s="11"/>
      <c r="M65" s="11"/>
      <c r="N65" s="11"/>
      <c r="O65" s="57"/>
      <c r="P65" s="105"/>
      <c r="Q65" s="106"/>
      <c r="R65" s="57"/>
      <c r="S65" s="57"/>
      <c r="T65" s="57"/>
      <c r="U65" s="57"/>
      <c r="V65" s="57"/>
      <c r="W65" s="95"/>
      <c r="X65" s="57"/>
      <c r="Y65" s="95"/>
      <c r="Z65" s="95"/>
      <c r="AA65" s="95"/>
      <c r="AB65" s="95"/>
      <c r="AC65" s="57"/>
      <c r="AD65" s="57"/>
    </row>
    <row r="66" spans="1:93" ht="14.25" customHeight="1" x14ac:dyDescent="0.2">
      <c r="F66" s="49" t="s">
        <v>113</v>
      </c>
      <c r="G66" s="163" t="str">
        <f>$F66 &amp; " / Odds"</f>
        <v>Group F / Odds</v>
      </c>
      <c r="H66" s="163"/>
      <c r="I66" s="163"/>
      <c r="J66" s="163"/>
      <c r="K66" s="163"/>
      <c r="L66" s="163"/>
      <c r="M66" s="163"/>
      <c r="N66" s="163"/>
      <c r="O66" s="57"/>
      <c r="P66" s="163" t="str">
        <f>$F66 &amp; " / Results"</f>
        <v>Group F / Results</v>
      </c>
      <c r="Q66" s="164"/>
      <c r="R66" s="165"/>
      <c r="S66" s="165"/>
      <c r="T66" s="165"/>
      <c r="U66" s="165"/>
      <c r="V66" s="57"/>
      <c r="W66" s="166"/>
      <c r="X66" s="167" t="str">
        <f>X58</f>
        <v>Ranking</v>
      </c>
      <c r="Y66" s="168" t="s">
        <v>24</v>
      </c>
      <c r="Z66" s="168" t="s">
        <v>25</v>
      </c>
      <c r="AA66" s="168" t="s">
        <v>26</v>
      </c>
      <c r="AB66" s="168" t="str">
        <f>"+/-"</f>
        <v>+/-</v>
      </c>
      <c r="AC66" s="57"/>
      <c r="AD66" s="57"/>
      <c r="BD66" s="63" t="s">
        <v>37</v>
      </c>
      <c r="BE66" s="64" t="s">
        <v>38</v>
      </c>
      <c r="BF66" s="65" t="s">
        <v>24</v>
      </c>
      <c r="BG66" s="66" t="s">
        <v>25</v>
      </c>
      <c r="BH66" s="65" t="s">
        <v>26</v>
      </c>
      <c r="BI66" s="67" t="s">
        <v>39</v>
      </c>
      <c r="BJ66" s="65" t="s">
        <v>40</v>
      </c>
      <c r="BK66" s="65" t="s">
        <v>41</v>
      </c>
      <c r="BL66" s="65" t="s">
        <v>42</v>
      </c>
      <c r="BM66" s="65" t="s">
        <v>43</v>
      </c>
      <c r="BN66" s="66" t="s">
        <v>44</v>
      </c>
      <c r="BO66" s="65" t="s">
        <v>45</v>
      </c>
      <c r="BP66" s="65" t="s">
        <v>46</v>
      </c>
      <c r="BQ66" s="67" t="s">
        <v>47</v>
      </c>
      <c r="BR66" s="66" t="s">
        <v>48</v>
      </c>
      <c r="BS66" s="65" t="s">
        <v>49</v>
      </c>
      <c r="BT66" s="65" t="s">
        <v>50</v>
      </c>
      <c r="BU66" s="67" t="s">
        <v>51</v>
      </c>
      <c r="BV66" s="66" t="s">
        <v>52</v>
      </c>
      <c r="BW66" s="65" t="s">
        <v>53</v>
      </c>
      <c r="BX66" s="65" t="s">
        <v>54</v>
      </c>
      <c r="BY66" s="67" t="s">
        <v>55</v>
      </c>
      <c r="BZ66" s="66" t="s">
        <v>56</v>
      </c>
      <c r="CA66" s="65" t="s">
        <v>48</v>
      </c>
      <c r="CB66" s="65" t="s">
        <v>49</v>
      </c>
      <c r="CC66" s="65" t="s">
        <v>50</v>
      </c>
      <c r="CD66" s="65" t="s">
        <v>51</v>
      </c>
      <c r="CE66" s="65" t="s">
        <v>57</v>
      </c>
      <c r="CF66" s="65" t="s">
        <v>58</v>
      </c>
      <c r="CG66" s="65" t="s">
        <v>59</v>
      </c>
      <c r="CH66" s="65" t="s">
        <v>60</v>
      </c>
      <c r="CI66" s="65" t="s">
        <v>61</v>
      </c>
      <c r="CJ66" s="65" t="s">
        <v>62</v>
      </c>
      <c r="CK66" s="65" t="s">
        <v>63</v>
      </c>
      <c r="CL66" s="66" t="s">
        <v>64</v>
      </c>
      <c r="CM66" s="65" t="s">
        <v>65</v>
      </c>
      <c r="CN66" s="65" t="s">
        <v>66</v>
      </c>
      <c r="CO66" s="67" t="s">
        <v>67</v>
      </c>
    </row>
    <row r="67" spans="1:93" ht="14.25" customHeight="1" x14ac:dyDescent="0.2">
      <c r="A67" s="49">
        <f>IF(OR(ISBLANK(S67),ISBLANK(T67)),1,0)</f>
        <v>1</v>
      </c>
      <c r="C67" s="49">
        <v>11</v>
      </c>
      <c r="D67" s="49" t="s">
        <v>114</v>
      </c>
      <c r="E67" s="49" t="s">
        <v>11</v>
      </c>
      <c r="F67" s="49" t="s">
        <v>113</v>
      </c>
      <c r="G67" s="11" t="str">
        <f>R67</f>
        <v>Netherlands</v>
      </c>
      <c r="H67" s="11">
        <f>AN67</f>
        <v>2.3012740689823481</v>
      </c>
      <c r="I67" s="11"/>
      <c r="J67" s="11" t="s">
        <v>35</v>
      </c>
      <c r="K67" s="11">
        <f>AO67</f>
        <v>4.0050430664091934</v>
      </c>
      <c r="L67" s="11"/>
      <c r="M67" s="11" t="str">
        <f>U67</f>
        <v>Japan</v>
      </c>
      <c r="N67" s="11">
        <f>AP67</f>
        <v>3.1694080222181755</v>
      </c>
      <c r="O67" s="57"/>
      <c r="P67" s="68">
        <v>46187</v>
      </c>
      <c r="Q67" s="69">
        <v>0.91666666666666663</v>
      </c>
      <c r="R67" s="169" t="s">
        <v>115</v>
      </c>
      <c r="S67" s="17"/>
      <c r="T67" s="17"/>
      <c r="U67" s="170" t="s">
        <v>116</v>
      </c>
      <c r="V67" s="57"/>
      <c r="W67" s="171">
        <f>BA67</f>
        <v>1</v>
      </c>
      <c r="X67" s="172" t="str">
        <f>INDEX(BE67:BE70,MATCH(BC67,$BD67:$BD70,0))</f>
        <v>Netherlands</v>
      </c>
      <c r="Y67" s="173">
        <f>INDEX(BF67:BF70,MATCH(BC67,$BD67:$BD70,0))</f>
        <v>0</v>
      </c>
      <c r="Z67" s="173">
        <f>INDEX(BG67:BG70,MATCH(BC67,$BD67:$BD70,0))</f>
        <v>0</v>
      </c>
      <c r="AA67" s="173">
        <f>INDEX(BH67:BH70,MATCH(BC67,$BD67:$BD70,0))</f>
        <v>0</v>
      </c>
      <c r="AB67" s="173">
        <f>INDEX(BI67:BI70,MATCH(BC67,$BD67:$BD70,0))</f>
        <v>0</v>
      </c>
      <c r="AC67" s="57"/>
      <c r="AD67" s="57"/>
      <c r="AE67" s="49" t="str">
        <f t="shared" ref="AE67:AE72" si="60">R67</f>
        <v>Netherlands</v>
      </c>
      <c r="AF67" s="49" t="str">
        <f t="shared" ref="AF67:AF72" si="61">U67</f>
        <v>Japan</v>
      </c>
      <c r="AG67" s="75">
        <f>_xlfn.XLOOKUP(AE67,'FIFA rankings'!$B:$B,'FIFA rankings'!$D:$D)</f>
        <v>1757.87</v>
      </c>
      <c r="AH67" s="75">
        <f>_xlfn.XLOOKUP(AF67,'FIFA rankings'!$B:$B,'FIFA rankings'!$D:$D)</f>
        <v>1660.43</v>
      </c>
      <c r="AI67" s="76">
        <f t="shared" ref="AI67:AI72" si="62">IFERROR(AG67-AH67,"n.a.")</f>
        <v>97.439999999999827</v>
      </c>
      <c r="AJ67" s="75"/>
      <c r="AK67" s="77">
        <f t="shared" ref="AK67:AK72" si="63">IFERROR($AI$7*POWER(10,$AI67/$AI$6),"n.a.")</f>
        <v>1.5382172260772049</v>
      </c>
      <c r="AL67" s="77">
        <f t="shared" ref="AL67:AL72" si="64">IFERROR($AI$7*POWER(10,-$AI67/$AI$6),"n.a.")</f>
        <v>1.274202347218822</v>
      </c>
      <c r="AM67" s="75"/>
      <c r="AN67" s="78" cm="1">
        <f t="array" ref="AN67">1/SUMPRODUCT(_xlfn.POISSON.DIST(ROW($1:$8)-1,$AK67,FALSE)*_xlfn.POISSON.DIST(TRANSPOSE(ROW($1:$8)-1),$AL67,FALSE)*((ROW($1:$8)-1)&gt;(TRANSPOSE(ROW($1:$8)-1))))</f>
        <v>2.3012740689823481</v>
      </c>
      <c r="AO67" s="78" cm="1">
        <f t="array" ref="AO67">1/SUMPRODUCT(_xlfn.POISSON.DIST(ROW($1:$8)-1,$AK67,FALSE)*_xlfn.POISSON.DIST(TRANSPOSE(ROW($1:$8)-1),$AL67,FALSE)*((ROW($1:$8)-1)=(TRANSPOSE(ROW($1:$8)-1))))</f>
        <v>4.0050430664091934</v>
      </c>
      <c r="AP67" s="78" cm="1">
        <f t="array" ref="AP67">1/SUMPRODUCT(_xlfn.POISSON.DIST(ROW($1:$8)-1,$AK67,FALSE)*_xlfn.POISSON.DIST(TRANSPOSE(ROW($1:$8)-1),$AL67,FALSE)*((ROW($1:$8)-1)&lt;(TRANSPOSE(ROW($1:$8)-1))))</f>
        <v>3.1694080222181755</v>
      </c>
      <c r="AQ67" s="75"/>
      <c r="AR67" s="78"/>
      <c r="AS67" s="79">
        <f>1-SUM(1/AN67,1/AO67,1/AP67)</f>
        <v>2.5656356794234725E-4</v>
      </c>
      <c r="BA67" s="80">
        <v>1</v>
      </c>
      <c r="BB67" s="80">
        <f>ROUND(BC67,0)</f>
        <v>2</v>
      </c>
      <c r="BC67" s="81">
        <f>MIN(BD67:BD70)</f>
        <v>2.4500000000000002</v>
      </c>
      <c r="BD67" s="82">
        <f>SUM(BV67:BY67)+2.45</f>
        <v>2.4500000000000002</v>
      </c>
      <c r="BE67" s="83" t="str">
        <f>R67</f>
        <v>Netherlands</v>
      </c>
      <c r="BF67" s="51">
        <f>SUM(BJ67:BM67)</f>
        <v>0</v>
      </c>
      <c r="BG67" s="84">
        <f>S67+S69+T71</f>
        <v>0</v>
      </c>
      <c r="BH67" s="51">
        <f>T67+T69+S71</f>
        <v>0</v>
      </c>
      <c r="BI67" s="85">
        <f>BG67-BH67</f>
        <v>0</v>
      </c>
      <c r="BJ67" s="51" t="s">
        <v>71</v>
      </c>
      <c r="BK67" s="51">
        <f>IF(ISBLANK(S67),0,IF(S67&gt;T67,3,IF(S67=T67,1,0)))</f>
        <v>0</v>
      </c>
      <c r="BL67" s="51">
        <f>IF(ISBLANK(S69),0,IF(S69&gt;T69,3,IF(S69=T69,1,0)))</f>
        <v>0</v>
      </c>
      <c r="BM67" s="51">
        <f>IF(ISBLANK(T71),0,IF(T71&gt;S71,3,IF(T71=S71,1,0)))</f>
        <v>0</v>
      </c>
      <c r="BN67" s="84" t="s">
        <v>71</v>
      </c>
      <c r="BO67" s="51" t="b">
        <f>(10*(BI67-BI68)+BG67-BG68&gt;0)</f>
        <v>0</v>
      </c>
      <c r="BP67" s="51" t="b">
        <f>10*(BI67-BI69)+BG67-BG69&gt;0</f>
        <v>0</v>
      </c>
      <c r="BQ67" s="85" t="b">
        <f>10*(BI67-BI70)+BG67-BG70&gt;0</f>
        <v>0</v>
      </c>
      <c r="BR67" s="84">
        <f>10000*(BK67+BL67)+(S69-T69+S67-T67)*100+(S69+S67)</f>
        <v>0</v>
      </c>
      <c r="BS67" s="51">
        <f>10000*(BK67+BM67)+(S67-T67+T71-S71)*100+(S67+T71)</f>
        <v>0</v>
      </c>
      <c r="BT67" s="51">
        <f>10000*(BL67+BM67)+(T71-S71+S69-T69)*100+(T71+S69)</f>
        <v>0</v>
      </c>
      <c r="BU67" s="85" t="s">
        <v>71</v>
      </c>
      <c r="BV67" s="84" t="s">
        <v>71</v>
      </c>
      <c r="BW67" s="86">
        <f>IF($BF67&gt;$BF68,-0.5,IF($BF68&gt;$BF67,0.5,IF(BO67,-0.5,IF(BN68,0.5,CM67))))</f>
        <v>0</v>
      </c>
      <c r="BX67" s="86">
        <f>IF($BF67&gt;$BF69,-0.5,IF($BF69&gt;$BF67,0.5,IF(BP67,-0.5,IF(BN69,0.5,CN67))))</f>
        <v>0</v>
      </c>
      <c r="BY67" s="87">
        <f>IF($BF67&gt;$BF70,-0.5,IF($BF70&gt;$BF67,0.5,IF(BQ67,-0.5,IF(BN70,0.5,CO67))))</f>
        <v>0</v>
      </c>
      <c r="BZ67" s="88" t="b">
        <f>AND(AND(BF67=BF68,BF68=BF69,BF69=BF70),AND(BG67=BG68,BG68=BG69,BG69=BG70),AND(BH67=BH68,BH68=BH69,BH69=BH70))</f>
        <v>1</v>
      </c>
      <c r="CA67" s="88" t="b">
        <f>AND(NOT(BZ67),BF67=BF68,BF67=BF69,BG67=BG68,BG67=BG69,BH67=BH68,BH67=BH69)</f>
        <v>0</v>
      </c>
      <c r="CB67" s="88" t="b">
        <f>AND(NOT(BZ67),BF67=BF68,BF67=BF70,BG67=BG68,BG67=BG70,BH67=BH68,BH67=BH70)</f>
        <v>0</v>
      </c>
      <c r="CC67" s="88" t="b">
        <f>AND(NOT(BZ67),BF67=BF69,BF67=BF70,BG67=BG69,BG67=BG70,BH67=BH69,BH67=BH70)</f>
        <v>0</v>
      </c>
      <c r="CD67" s="88" t="b">
        <f>AND(NOT(BZ67),BF68=BF69,BF68=BF70,BG68=BG69,BG68=BG70,BH68=BH69,BH68=BH70)</f>
        <v>0</v>
      </c>
      <c r="CE67" s="88" t="b">
        <f>AND(NOT(BZ67),NOT(CA67),NOT(CB67),BF67=BF68,BG67=BG68,BH67=BH68)</f>
        <v>0</v>
      </c>
      <c r="CF67" s="88" t="b">
        <f>AND(NOT(BZ67),NOT(CA67),NOT(CC67),BF67=BF69,BG67=BG69,BH67=BH69)</f>
        <v>0</v>
      </c>
      <c r="CG67" s="88" t="b">
        <f>AND(NOT(BZ67),NOT(CB67),NOT(CC67),BF67=BF70,BG67=BG70,BH67=BH70)</f>
        <v>0</v>
      </c>
      <c r="CH67" s="88" t="b">
        <f>AND(NOT(BZ67),NOT(CA67),NOT(CD67),BF68=BF69,BG68=BG69)</f>
        <v>0</v>
      </c>
      <c r="CI67" s="88" t="b">
        <f>AND(NOT(BZ67),NOT(CB67),NOT(CD67),BF68=BF70,BG68=BG70,BH68=BH70)</f>
        <v>0</v>
      </c>
      <c r="CJ67" s="88" t="b">
        <f>AND(NOT(BZ67),NOT(CC67),NOT(CD67),BF69=BF70,BG69=BG70,BH69=BH70)</f>
        <v>0</v>
      </c>
      <c r="CK67" s="88" t="b">
        <f t="array" ref="CK67">AND(NOT(BZ67:CJ67))</f>
        <v>0</v>
      </c>
      <c r="CL67" s="84" t="s">
        <v>71</v>
      </c>
      <c r="CM67" s="51">
        <f>IF($CE67,IF(T67-S67&lt;0,-0.5,IF(S67-T67&lt;0,0.5,0)),IF($CA67,IF($BR67&gt;$BR68,-0.5,IF($BR67&lt;$BR68,0.5,0)),IF($CB67,IF($BS67&gt;$BS68,-0.5, IF($BS67&lt;$BS68,0.5,0)),0)))</f>
        <v>0</v>
      </c>
      <c r="CN67" s="51">
        <f>IF($CF67,IF(T69-S69&lt;0,-0.5,IF(S69-T69&lt;0,0.5,0)),IF($CA67,IF($BR67&gt;$BR69,-0.5,IF($BR67&lt;$BR69,0.5,0)),IF($CC67,IF($BT67&gt;$BT69,-0.5,IF($BT67&lt;$BT69,0.5,0)),0)))</f>
        <v>0</v>
      </c>
      <c r="CO67" s="85">
        <f>IF($CG67,IF(S71-T71&lt;0,-0.5,IF(T71-S71&lt;0,0.5,0)),IF($CB67,IF($BS67&gt;$BS70,-0.5,IF($BS67&lt;$BS70,0.5,0)),IF($CC67,IF($BT67&gt;$BT70,-0.5, IF($BT67&lt;$BT70,0.5,0)),0)))</f>
        <v>0</v>
      </c>
    </row>
    <row r="68" spans="1:93" ht="14.25" customHeight="1" x14ac:dyDescent="0.2">
      <c r="A68" s="49">
        <f t="shared" ref="A68:A72" si="65">IF(OR(ISBLANK(S68),ISBLANK(T68)),1,0)</f>
        <v>1</v>
      </c>
      <c r="C68" s="49">
        <v>12</v>
      </c>
      <c r="D68" s="49" t="s">
        <v>117</v>
      </c>
      <c r="E68" s="49" t="s">
        <v>11</v>
      </c>
      <c r="F68" s="49" t="s">
        <v>113</v>
      </c>
      <c r="G68" s="11" t="str">
        <f t="shared" ref="G68:G72" si="66">R68</f>
        <v>Sweden</v>
      </c>
      <c r="H68" s="11">
        <f t="shared" ref="H68:H72" si="67">AN68</f>
        <v>2.5439676587308866</v>
      </c>
      <c r="I68" s="11"/>
      <c r="J68" s="11" t="s">
        <v>35</v>
      </c>
      <c r="K68" s="11">
        <f t="shared" ref="K68:K72" si="68">AO68</f>
        <v>3.9608158253169208</v>
      </c>
      <c r="L68" s="11"/>
      <c r="M68" s="11" t="str">
        <f t="shared" ref="M68:M72" si="69">U68</f>
        <v>Tunisia</v>
      </c>
      <c r="N68" s="11">
        <f t="shared" ref="N68:N72" si="70">AP68</f>
        <v>2.8230849378368865</v>
      </c>
      <c r="O68" s="57"/>
      <c r="P68" s="89">
        <v>46188</v>
      </c>
      <c r="Q68" s="90">
        <v>0.16666666666666666</v>
      </c>
      <c r="R68" s="172" t="s">
        <v>118</v>
      </c>
      <c r="S68" s="17"/>
      <c r="T68" s="17"/>
      <c r="U68" s="174" t="s">
        <v>119</v>
      </c>
      <c r="V68" s="57"/>
      <c r="W68" s="171">
        <f>BA68</f>
        <v>1</v>
      </c>
      <c r="X68" s="172" t="str">
        <f>INDEX(BE67:BE70,MATCH(BC68,$BD67:$BD70,0))</f>
        <v>Japan</v>
      </c>
      <c r="Y68" s="173">
        <f>INDEX(BF67:BF70,MATCH(BC68,$BD67:$BD70,0))</f>
        <v>0</v>
      </c>
      <c r="Z68" s="173">
        <f>INDEX(BG67:BG70,MATCH(BC68,$BD67:$BD70,0))</f>
        <v>0</v>
      </c>
      <c r="AA68" s="173">
        <f>INDEX(BH67:BH70,MATCH(BC68,$BD67:$BD70,0))</f>
        <v>0</v>
      </c>
      <c r="AB68" s="173">
        <f>INDEX(BI67:BI70,MATCH(BC68,$BD67:$BD70,0))</f>
        <v>0</v>
      </c>
      <c r="AC68" s="57"/>
      <c r="AD68" s="57"/>
      <c r="AE68" s="49" t="str">
        <f t="shared" si="60"/>
        <v>Sweden</v>
      </c>
      <c r="AF68" s="49" t="str">
        <f t="shared" si="61"/>
        <v>Tunisia</v>
      </c>
      <c r="AG68" s="75">
        <f>_xlfn.XLOOKUP(AE68,'FIFA rankings'!$B:$B,'FIFA rankings'!$D:$D)</f>
        <v>1514.77</v>
      </c>
      <c r="AH68" s="75">
        <f>_xlfn.XLOOKUP(AF68,'FIFA rankings'!$B:$B,'FIFA rankings'!$D:$D)</f>
        <v>1483.05</v>
      </c>
      <c r="AI68" s="76">
        <f t="shared" si="62"/>
        <v>31.720000000000027</v>
      </c>
      <c r="AJ68" s="75"/>
      <c r="AK68" s="77">
        <f t="shared" si="63"/>
        <v>1.4435737899776044</v>
      </c>
      <c r="AL68" s="77">
        <f t="shared" si="64"/>
        <v>1.3577414702371446</v>
      </c>
      <c r="AM68" s="75"/>
      <c r="AN68" s="78" cm="1">
        <f t="array" ref="AN68">1/SUMPRODUCT(_xlfn.POISSON.DIST(ROW($1:$8)-1,$AK68,FALSE)*_xlfn.POISSON.DIST(TRANSPOSE(ROW($1:$8)-1),$AL68,FALSE)*((ROW($1:$8)-1)&gt;(TRANSPOSE(ROW($1:$8)-1))))</f>
        <v>2.5439676587308866</v>
      </c>
      <c r="AO68" s="78" cm="1">
        <f t="array" ref="AO68">1/SUMPRODUCT(_xlfn.POISSON.DIST(ROW($1:$8)-1,$AK68,FALSE)*_xlfn.POISSON.DIST(TRANSPOSE(ROW($1:$8)-1),$AL68,FALSE)*((ROW($1:$8)-1)=(TRANSPOSE(ROW($1:$8)-1))))</f>
        <v>3.9608158253169208</v>
      </c>
      <c r="AP68" s="78" cm="1">
        <f t="array" ref="AP68">1/SUMPRODUCT(_xlfn.POISSON.DIST(ROW($1:$8)-1,$AK68,FALSE)*_xlfn.POISSON.DIST(TRANSPOSE(ROW($1:$8)-1),$AL68,FALSE)*((ROW($1:$8)-1)&lt;(TRANSPOSE(ROW($1:$8)-1))))</f>
        <v>2.8230849378368865</v>
      </c>
      <c r="AQ68" s="75"/>
      <c r="AR68" s="78"/>
      <c r="AS68" s="79">
        <f t="shared" ref="AS68:AS72" si="71">1-SUM(1/AN68,1/AO68,1/AP68)</f>
        <v>2.1757530175947615E-4</v>
      </c>
      <c r="BA68" s="80">
        <f>IF(ROUND(BC68,0)=ROUND(BC67,0),BA67,2)</f>
        <v>1</v>
      </c>
      <c r="BB68" s="80">
        <f>ROUND(BC68,0)</f>
        <v>2</v>
      </c>
      <c r="BC68" s="81">
        <f>MAX(MIN(BD67:BD69),MIN(BD67,BD68,BD70),MIN(BD67,BD69,BD70),MIN(BD68:BD70))</f>
        <v>2.46</v>
      </c>
      <c r="BD68" s="92">
        <f>SUM(BV68:BY68)+2.46</f>
        <v>2.46</v>
      </c>
      <c r="BE68" s="83" t="str">
        <f>U67</f>
        <v>Japan</v>
      </c>
      <c r="BF68" s="51">
        <f>SUM(BJ68:BM68)</f>
        <v>0</v>
      </c>
      <c r="BG68" s="84">
        <f>T67+T70+S72</f>
        <v>0</v>
      </c>
      <c r="BH68" s="51">
        <f>S67+S70+T72</f>
        <v>0</v>
      </c>
      <c r="BI68" s="85">
        <f>BG68-BH68</f>
        <v>0</v>
      </c>
      <c r="BJ68" s="51">
        <f>IF(ISBLANK(T67),0,IF(BK67=3,0,IF(BK67=1,1,3)))</f>
        <v>0</v>
      </c>
      <c r="BK68" s="51" t="s">
        <v>71</v>
      </c>
      <c r="BL68" s="51">
        <f>IF(ISBLANK(S72),0,IF(BK69=3,0,IF(BK69=1,1,3)))</f>
        <v>0</v>
      </c>
      <c r="BM68" s="51">
        <f>IF(ISBLANK(T70),0,IF(T70&gt;S70,3,IF(T70=S70,1,0)))</f>
        <v>0</v>
      </c>
      <c r="BN68" s="84" t="b">
        <f>(10*(BI67-BI68)+BG67-BG68&lt;0)</f>
        <v>0</v>
      </c>
      <c r="BO68" s="51" t="s">
        <v>71</v>
      </c>
      <c r="BP68" s="51" t="b">
        <f>10*(BI68-BI69)+BG68-BG69&gt;0</f>
        <v>0</v>
      </c>
      <c r="BQ68" s="85" t="b">
        <f>10*(BI68-BI70)+BG68-BG70&gt;0</f>
        <v>0</v>
      </c>
      <c r="BR68" s="84">
        <f>10000*(BJ68+BL68)+(T67-S67+S72-T72)*100+(T67+S72)</f>
        <v>0</v>
      </c>
      <c r="BS68" s="51">
        <f>10000*(BJ68+BM68)+(T67-S67+T70-S70)*100+(T67+T70)</f>
        <v>0</v>
      </c>
      <c r="BT68" s="51" t="s">
        <v>71</v>
      </c>
      <c r="BU68" s="85">
        <f>10000*(BL68+BM68)+(T70-S70+S72-T72)*100+(T70+S72)</f>
        <v>0</v>
      </c>
      <c r="BV68" s="93">
        <f>-BW67</f>
        <v>0</v>
      </c>
      <c r="BW68" s="51" t="s">
        <v>71</v>
      </c>
      <c r="BX68" s="86">
        <f>IF($BF68&gt;$BF69,-0.5,IF($BF69&gt;$BF68,0.5,IF(BP68,-0.5,IF(BO69,0.5,CN68))))</f>
        <v>0</v>
      </c>
      <c r="BY68" s="87">
        <f>IF($BF68&gt;$BF70,-0.5,IF($BF70&gt;$BF68,0.5,IF(BQ68,-0.5,IF(BO70,0.5,CO68))))</f>
        <v>0</v>
      </c>
      <c r="CL68" s="84"/>
      <c r="CM68" s="51" t="s">
        <v>71</v>
      </c>
      <c r="CN68" s="51">
        <f>IF($CH67,IF(T72-S72&lt;0,-0.5,IF(S72-T72&lt;0,0.5,0)),IF($CA67,IF($BR68&gt;$BR69,-0.5,IF($BR68&lt;$BR69,0.5,0)),IF($CD67,IF($BU68&gt;$BU69,-0.5,IF($BU68&lt;$BU69,0.5,0)),0)))</f>
        <v>0</v>
      </c>
      <c r="CO68" s="85">
        <f>IF($CI67,IF(S70-T70&lt;0,-0.5,IF(T70-S70&lt;0,0.5,0)),IF($CB67,IF($BS68&gt;$BS70,-0.5,IF($BS68&lt;$BS70,0.5,0)),IF($CD67,IF($BU68&gt;$BU70,-0.5,IF($BU68&lt;$BU70,0.5,0)),0)))</f>
        <v>0</v>
      </c>
    </row>
    <row r="69" spans="1:93" ht="14.25" customHeight="1" x14ac:dyDescent="0.2">
      <c r="A69" s="49">
        <f t="shared" si="65"/>
        <v>1</v>
      </c>
      <c r="C69" s="49">
        <v>35</v>
      </c>
      <c r="D69" s="49" t="s">
        <v>120</v>
      </c>
      <c r="E69" s="49" t="s">
        <v>11</v>
      </c>
      <c r="F69" s="49" t="s">
        <v>113</v>
      </c>
      <c r="G69" s="11" t="str">
        <f t="shared" si="66"/>
        <v>Netherlands</v>
      </c>
      <c r="H69" s="11">
        <f t="shared" si="67"/>
        <v>1.8916137843546488</v>
      </c>
      <c r="I69" s="11"/>
      <c r="J69" s="11" t="s">
        <v>35</v>
      </c>
      <c r="K69" s="11">
        <f t="shared" si="68"/>
        <v>4.2748009128926432</v>
      </c>
      <c r="L69" s="11"/>
      <c r="M69" s="11" t="str">
        <f t="shared" si="69"/>
        <v>Sweden</v>
      </c>
      <c r="N69" s="11">
        <f t="shared" si="70"/>
        <v>4.2212669182397349</v>
      </c>
      <c r="O69" s="57"/>
      <c r="P69" s="68">
        <v>46193</v>
      </c>
      <c r="Q69" s="69">
        <v>0.79166666666666663</v>
      </c>
      <c r="R69" s="169" t="str">
        <f>R67</f>
        <v>Netherlands</v>
      </c>
      <c r="S69" s="17"/>
      <c r="T69" s="17"/>
      <c r="U69" s="170" t="str">
        <f>R68</f>
        <v>Sweden</v>
      </c>
      <c r="V69" s="57"/>
      <c r="W69" s="94">
        <f>BA69</f>
        <v>1</v>
      </c>
      <c r="X69" s="57" t="str">
        <f>INDEX(BE67:BE70,MATCH(BC69,$BD67:$BD70,0))</f>
        <v>Sweden</v>
      </c>
      <c r="Y69" s="95">
        <f>INDEX(BF67:BF70,MATCH(BC69,$BD67:$BD70,0))</f>
        <v>0</v>
      </c>
      <c r="Z69" s="95">
        <f>INDEX(BG67:BG70,MATCH(BC69,$BD67:$BD70,0))</f>
        <v>0</v>
      </c>
      <c r="AA69" s="95">
        <f>INDEX(BH67:BH70,MATCH(BC69,$BD67:$BD70,0))</f>
        <v>0</v>
      </c>
      <c r="AB69" s="95">
        <f>INDEX(BI67:BI70,MATCH(BC69,$BD67:$BD70,0))</f>
        <v>0</v>
      </c>
      <c r="AC69" s="57"/>
      <c r="AD69" s="57"/>
      <c r="AE69" s="49" t="str">
        <f t="shared" si="60"/>
        <v>Netherlands</v>
      </c>
      <c r="AF69" s="49" t="str">
        <f t="shared" si="61"/>
        <v>Sweden</v>
      </c>
      <c r="AG69" s="75">
        <f>_xlfn.XLOOKUP(AE69,'FIFA rankings'!$B:$B,'FIFA rankings'!$D:$D)</f>
        <v>1757.87</v>
      </c>
      <c r="AH69" s="75">
        <f>_xlfn.XLOOKUP(AF69,'FIFA rankings'!$B:$B,'FIFA rankings'!$D:$D)</f>
        <v>1514.77</v>
      </c>
      <c r="AI69" s="76">
        <f t="shared" si="62"/>
        <v>243.09999999999991</v>
      </c>
      <c r="AJ69" s="75"/>
      <c r="AK69" s="77">
        <f t="shared" si="63"/>
        <v>1.7706890573528946</v>
      </c>
      <c r="AL69" s="77">
        <f t="shared" si="64"/>
        <v>1.1069137135404885</v>
      </c>
      <c r="AM69" s="75"/>
      <c r="AN69" s="78" cm="1">
        <f t="array" ref="AN69">1/SUMPRODUCT(_xlfn.POISSON.DIST(ROW($1:$8)-1,$AK69,FALSE)*_xlfn.POISSON.DIST(TRANSPOSE(ROW($1:$8)-1),$AL69,FALSE)*((ROW($1:$8)-1)&gt;(TRANSPOSE(ROW($1:$8)-1))))</f>
        <v>1.8916137843546488</v>
      </c>
      <c r="AO69" s="78" cm="1">
        <f t="array" ref="AO69">1/SUMPRODUCT(_xlfn.POISSON.DIST(ROW($1:$8)-1,$AK69,FALSE)*_xlfn.POISSON.DIST(TRANSPOSE(ROW($1:$8)-1),$AL69,FALSE)*((ROW($1:$8)-1)=(TRANSPOSE(ROW($1:$8)-1))))</f>
        <v>4.2748009128926432</v>
      </c>
      <c r="AP69" s="78" cm="1">
        <f t="array" ref="AP69">1/SUMPRODUCT(_xlfn.POISSON.DIST(ROW($1:$8)-1,$AK69,FALSE)*_xlfn.POISSON.DIST(TRANSPOSE(ROW($1:$8)-1),$AL69,FALSE)*((ROW($1:$8)-1)&lt;(TRANSPOSE(ROW($1:$8)-1))))</f>
        <v>4.2212669182397349</v>
      </c>
      <c r="AQ69" s="75"/>
      <c r="AR69" s="78"/>
      <c r="AS69" s="79">
        <f t="shared" si="71"/>
        <v>5.261330288770516E-4</v>
      </c>
      <c r="BA69" s="80">
        <f>IF(ROUND(BC69,0)=ROUND(BC68,0),BA68,3)</f>
        <v>1</v>
      </c>
      <c r="BB69" s="80">
        <f>ROUND(BC69,0)</f>
        <v>2</v>
      </c>
      <c r="BC69" s="81">
        <f>MIN(MAX(BD67:BD69),MAX(BD67,BD68,BD70),MAX(BD67,BD69,BD70),MAX(BD68:BD70))</f>
        <v>2.4700000000000002</v>
      </c>
      <c r="BD69" s="92">
        <f>SUM(BV69:BY69)+2.47</f>
        <v>2.4700000000000002</v>
      </c>
      <c r="BE69" s="83" t="str">
        <f>R68</f>
        <v>Sweden</v>
      </c>
      <c r="BF69" s="51">
        <f>SUM(BJ69:BM69)</f>
        <v>0</v>
      </c>
      <c r="BG69" s="84">
        <f>S68+T69+T72</f>
        <v>0</v>
      </c>
      <c r="BH69" s="51">
        <f>T68+S69+S72</f>
        <v>0</v>
      </c>
      <c r="BI69" s="85">
        <f>BG69-BH69</f>
        <v>0</v>
      </c>
      <c r="BJ69" s="51">
        <f>IF(ISBLANK(T69),0,IF(BL67=3,0,IF(BL67=1,1,3)))</f>
        <v>0</v>
      </c>
      <c r="BK69" s="51">
        <f>IF(ISBLANK(T72),0,IF(T72&gt;S72,3,IF(T72=S72,1,0)))</f>
        <v>0</v>
      </c>
      <c r="BL69" s="51" t="s">
        <v>71</v>
      </c>
      <c r="BM69" s="51">
        <f>IF(ISBLANK(S68),0,IF(S68&gt;T68,3,IF(S68=T68,1,0)))</f>
        <v>0</v>
      </c>
      <c r="BN69" s="84" t="b">
        <f>10*(BI67-BI69)+BG67-BG69&lt;0</f>
        <v>0</v>
      </c>
      <c r="BO69" s="51" t="b">
        <f>10*(BI68-BI69)+BG68-BG69&lt;0</f>
        <v>0</v>
      </c>
      <c r="BP69" s="51" t="s">
        <v>71</v>
      </c>
      <c r="BQ69" s="85" t="b">
        <f>10*(BI69-BI70)+BG69-BG70&gt;0</f>
        <v>0</v>
      </c>
      <c r="BR69" s="84">
        <f>10000*(BJ69+BK69)+(T69-S69+T72-S72)*100+(T69+T72)</f>
        <v>0</v>
      </c>
      <c r="BS69" s="51" t="s">
        <v>71</v>
      </c>
      <c r="BT69" s="51">
        <f>10000*(BJ69+BM69)+(S68-T68+T69-S69)*100+(S68+T69)</f>
        <v>0</v>
      </c>
      <c r="BU69" s="85">
        <f>10000*(BK69+BM69)+(S68-T68+T72-S72)*100+(S68+T72)</f>
        <v>0</v>
      </c>
      <c r="BV69" s="93">
        <f>-BX67</f>
        <v>0</v>
      </c>
      <c r="BW69" s="86">
        <f>-BX68</f>
        <v>0</v>
      </c>
      <c r="BX69" s="86" t="s">
        <v>71</v>
      </c>
      <c r="BY69" s="87">
        <f>IF($BF69&gt;$BF70,-0.5,IF($BF70&gt;$BF69,0.5,IF(BQ69,-0.5,IF(BP70,0.5,CO69))))</f>
        <v>0</v>
      </c>
      <c r="CL69" s="84"/>
      <c r="CM69" s="51"/>
      <c r="CN69" s="51" t="s">
        <v>71</v>
      </c>
      <c r="CO69" s="85">
        <f>IF($CJ67,IF(T68-S68&lt;0,-0.5,IF(S68-T68&lt;0,0.5,0)),IF($CC67,IF($BT69&gt;$BT70,-0.5,IF($BT69&lt;$BT70,0.5,0)),IF($CD67,IF($BU69&gt;$BU70,-0.5,IF($BU69&lt;$BU70,0.5,0)),0)))</f>
        <v>0</v>
      </c>
    </row>
    <row r="70" spans="1:93" ht="14.25" customHeight="1" x14ac:dyDescent="0.2">
      <c r="A70" s="49">
        <f t="shared" si="65"/>
        <v>1</v>
      </c>
      <c r="C70" s="49">
        <v>36</v>
      </c>
      <c r="D70" s="49" t="s">
        <v>121</v>
      </c>
      <c r="E70" s="49" t="s">
        <v>11</v>
      </c>
      <c r="F70" s="49" t="s">
        <v>113</v>
      </c>
      <c r="G70" s="11" t="str">
        <f t="shared" si="66"/>
        <v>Tunisia</v>
      </c>
      <c r="H70" s="11">
        <f t="shared" si="67"/>
        <v>3.6896718972252707</v>
      </c>
      <c r="I70" s="11"/>
      <c r="J70" s="11" t="s">
        <v>35</v>
      </c>
      <c r="K70" s="11">
        <f t="shared" si="68"/>
        <v>4.1220966524289162</v>
      </c>
      <c r="L70" s="11"/>
      <c r="M70" s="11" t="str">
        <f t="shared" si="69"/>
        <v>Japan</v>
      </c>
      <c r="N70" s="11">
        <f t="shared" si="70"/>
        <v>2.0575653768465862</v>
      </c>
      <c r="O70" s="57"/>
      <c r="P70" s="89">
        <v>46194</v>
      </c>
      <c r="Q70" s="90">
        <v>0.25</v>
      </c>
      <c r="R70" s="172" t="str">
        <f>U68</f>
        <v>Tunisia</v>
      </c>
      <c r="S70" s="17"/>
      <c r="T70" s="17"/>
      <c r="U70" s="174" t="str">
        <f>U67</f>
        <v>Japan</v>
      </c>
      <c r="V70" s="57"/>
      <c r="W70" s="94">
        <f>BA70</f>
        <v>1</v>
      </c>
      <c r="X70" s="57" t="str">
        <f>INDEX(BE67:BE70,MATCH(BC70,$BD67:$BD70,0))</f>
        <v>Tunisia</v>
      </c>
      <c r="Y70" s="95">
        <f>INDEX(BF67:BF70,MATCH(BC70,$BD67:$BD70,0))</f>
        <v>0</v>
      </c>
      <c r="Z70" s="95">
        <f>INDEX(BG67:BG70,MATCH(BC70,$BD67:$BD70,0))</f>
        <v>0</v>
      </c>
      <c r="AA70" s="95">
        <f>INDEX(BH67:BH70,MATCH(BC70,$BD67:$BD70,0))</f>
        <v>0</v>
      </c>
      <c r="AB70" s="95">
        <f>INDEX(BI67:BI70,MATCH(BC70,$BD67:$BD70,0))</f>
        <v>0</v>
      </c>
      <c r="AC70" s="57"/>
      <c r="AD70" s="57"/>
      <c r="AE70" s="49" t="str">
        <f t="shared" si="60"/>
        <v>Tunisia</v>
      </c>
      <c r="AF70" s="49" t="str">
        <f t="shared" si="61"/>
        <v>Japan</v>
      </c>
      <c r="AG70" s="75">
        <f>_xlfn.XLOOKUP(AE70,'FIFA rankings'!$B:$B,'FIFA rankings'!$D:$D)</f>
        <v>1483.05</v>
      </c>
      <c r="AH70" s="75">
        <f>_xlfn.XLOOKUP(AF70,'FIFA rankings'!$B:$B,'FIFA rankings'!$D:$D)</f>
        <v>1660.43</v>
      </c>
      <c r="AI70" s="76">
        <f t="shared" si="62"/>
        <v>-177.38000000000011</v>
      </c>
      <c r="AJ70" s="75"/>
      <c r="AK70" s="77">
        <f t="shared" si="63"/>
        <v>1.179485076391892</v>
      </c>
      <c r="AL70" s="77">
        <f t="shared" si="64"/>
        <v>1.6617420934190577</v>
      </c>
      <c r="AM70" s="75"/>
      <c r="AN70" s="78" cm="1">
        <f t="array" ref="AN70">1/SUMPRODUCT(_xlfn.POISSON.DIST(ROW($1:$8)-1,$AK70,FALSE)*_xlfn.POISSON.DIST(TRANSPOSE(ROW($1:$8)-1),$AL70,FALSE)*((ROW($1:$8)-1)&gt;(TRANSPOSE(ROW($1:$8)-1))))</f>
        <v>3.6896718972252707</v>
      </c>
      <c r="AO70" s="78" cm="1">
        <f t="array" ref="AO70">1/SUMPRODUCT(_xlfn.POISSON.DIST(ROW($1:$8)-1,$AK70,FALSE)*_xlfn.POISSON.DIST(TRANSPOSE(ROW($1:$8)-1),$AL70,FALSE)*((ROW($1:$8)-1)=(TRANSPOSE(ROW($1:$8)-1))))</f>
        <v>4.1220966524289162</v>
      </c>
      <c r="AP70" s="78" cm="1">
        <f t="array" ref="AP70">1/SUMPRODUCT(_xlfn.POISSON.DIST(ROW($1:$8)-1,$AK70,FALSE)*_xlfn.POISSON.DIST(TRANSPOSE(ROW($1:$8)-1),$AL70,FALSE)*((ROW($1:$8)-1)&lt;(TRANSPOSE(ROW($1:$8)-1))))</f>
        <v>2.0575653768465862</v>
      </c>
      <c r="AQ70" s="75"/>
      <c r="AR70" s="78"/>
      <c r="AS70" s="79">
        <f t="shared" si="71"/>
        <v>3.669117118412224E-4</v>
      </c>
      <c r="BA70" s="80">
        <f>IF(ROUND(BC70,0)=ROUND(BC69,0),BA69,4)</f>
        <v>1</v>
      </c>
      <c r="BB70" s="80">
        <f>ROUND(BC70,0)</f>
        <v>2</v>
      </c>
      <c r="BC70" s="81">
        <f>MAX(BD67:BD70)</f>
        <v>2.48</v>
      </c>
      <c r="BD70" s="96">
        <f>SUM(BV70:BY70)+2.48</f>
        <v>2.48</v>
      </c>
      <c r="BE70" s="97" t="str">
        <f>U68</f>
        <v>Tunisia</v>
      </c>
      <c r="BF70" s="88">
        <f>SUM(BJ70:BM70)</f>
        <v>0</v>
      </c>
      <c r="BG70" s="98">
        <f>T68+S70+S71</f>
        <v>0</v>
      </c>
      <c r="BH70" s="88">
        <f>S68+T70+T71</f>
        <v>0</v>
      </c>
      <c r="BI70" s="99">
        <f>BG70-BH70</f>
        <v>0</v>
      </c>
      <c r="BJ70" s="88">
        <f>IF(ISBLANK(S71),0,IF(BM67=3,0,IF(BM67=1,1,3)))</f>
        <v>0</v>
      </c>
      <c r="BK70" s="88">
        <f>IF(ISBLANK(S70),0,IF(BM68=3,0,IF(BM68=1,1,3)))</f>
        <v>0</v>
      </c>
      <c r="BL70" s="88">
        <f>IF(ISBLANK(T68),0,IF(BM69=3,0,IF(BM69=1,1,3)))</f>
        <v>0</v>
      </c>
      <c r="BM70" s="88" t="s">
        <v>71</v>
      </c>
      <c r="BN70" s="98" t="b">
        <f>10*(BI67-BI70)+BG67-BG70&lt;0</f>
        <v>0</v>
      </c>
      <c r="BO70" s="88" t="b">
        <f>10*(BI68-BI70)+BG68-BG70&lt;0</f>
        <v>0</v>
      </c>
      <c r="BP70" s="88" t="b">
        <f>10*(BI69-BI70)+BG69-BG70&lt;0</f>
        <v>0</v>
      </c>
      <c r="BQ70" s="99" t="s">
        <v>71</v>
      </c>
      <c r="BR70" s="98" t="s">
        <v>71</v>
      </c>
      <c r="BS70" s="88">
        <f>10000*(BJ70+BK70)+(S70-T70+S71-T71)*100+(S70+S71)</f>
        <v>0</v>
      </c>
      <c r="BT70" s="88">
        <f>10000*(BJ70+BL70)+(S71-T71+T68-S68)*100+(S71+T68)</f>
        <v>0</v>
      </c>
      <c r="BU70" s="99">
        <f>10000*(BK70+BL70)+(S70-T70+T68-S68)*100+(S70+T68)</f>
        <v>0</v>
      </c>
      <c r="BV70" s="100">
        <f>-BY67</f>
        <v>0</v>
      </c>
      <c r="BW70" s="101">
        <f>-BY68</f>
        <v>0</v>
      </c>
      <c r="BX70" s="101">
        <f>-BY69</f>
        <v>0</v>
      </c>
      <c r="BY70" s="99" t="s">
        <v>71</v>
      </c>
      <c r="CL70" s="98"/>
      <c r="CM70" s="88"/>
      <c r="CN70" s="88"/>
      <c r="CO70" s="99" t="s">
        <v>71</v>
      </c>
    </row>
    <row r="71" spans="1:93" ht="14.25" customHeight="1" x14ac:dyDescent="0.2">
      <c r="A71" s="49">
        <f t="shared" si="65"/>
        <v>1</v>
      </c>
      <c r="C71" s="49">
        <v>57</v>
      </c>
      <c r="E71" s="49" t="s">
        <v>11</v>
      </c>
      <c r="F71" s="49" t="s">
        <v>113</v>
      </c>
      <c r="G71" s="11" t="str">
        <f t="shared" si="66"/>
        <v>Tunisia</v>
      </c>
      <c r="H71" s="11">
        <f t="shared" si="67"/>
        <v>4.5191713729309511</v>
      </c>
      <c r="I71" s="11"/>
      <c r="J71" s="11" t="s">
        <v>35</v>
      </c>
      <c r="K71" s="11">
        <f t="shared" si="68"/>
        <v>4.3685750441191118</v>
      </c>
      <c r="L71" s="11"/>
      <c r="M71" s="11" t="str">
        <f t="shared" si="69"/>
        <v>Netherlands</v>
      </c>
      <c r="N71" s="11">
        <f t="shared" si="70"/>
        <v>1.8208943959057113</v>
      </c>
      <c r="O71" s="57"/>
      <c r="P71" s="68">
        <v>46199</v>
      </c>
      <c r="Q71" s="69">
        <v>4.1666666666666664E-2</v>
      </c>
      <c r="R71" s="169" t="str">
        <f>U68</f>
        <v>Tunisia</v>
      </c>
      <c r="S71" s="17"/>
      <c r="T71" s="17"/>
      <c r="U71" s="170" t="str">
        <f>R67</f>
        <v>Netherlands</v>
      </c>
      <c r="V71" s="57"/>
      <c r="W71" s="102"/>
      <c r="X71" s="103" t="str">
        <f>IF(OR(W69&lt;3,W68&lt;2),"TIRAGE AU SORT !!!"," ")</f>
        <v>TIRAGE AU SORT !!!</v>
      </c>
      <c r="Y71" s="102"/>
      <c r="Z71" s="102"/>
      <c r="AA71" s="102"/>
      <c r="AB71" s="102"/>
      <c r="AC71" s="57"/>
      <c r="AD71" s="57"/>
      <c r="AE71" s="49" t="str">
        <f t="shared" si="60"/>
        <v>Tunisia</v>
      </c>
      <c r="AF71" s="49" t="str">
        <f t="shared" si="61"/>
        <v>Netherlands</v>
      </c>
      <c r="AG71" s="75">
        <f>_xlfn.XLOOKUP(AE71,'FIFA rankings'!$B:$B,'FIFA rankings'!$D:$D)</f>
        <v>1483.05</v>
      </c>
      <c r="AH71" s="75">
        <f>_xlfn.XLOOKUP(AF71,'FIFA rankings'!$B:$B,'FIFA rankings'!$D:$D)</f>
        <v>1757.87</v>
      </c>
      <c r="AI71" s="76">
        <f t="shared" si="62"/>
        <v>-274.81999999999994</v>
      </c>
      <c r="AJ71" s="75"/>
      <c r="AK71" s="77">
        <f t="shared" si="63"/>
        <v>1.0735018948915145</v>
      </c>
      <c r="AL71" s="77">
        <f t="shared" si="64"/>
        <v>1.8258002238534217</v>
      </c>
      <c r="AM71" s="75"/>
      <c r="AN71" s="78" cm="1">
        <f t="array" ref="AN71">1/SUMPRODUCT(_xlfn.POISSON.DIST(ROW($1:$8)-1,$AK71,FALSE)*_xlfn.POISSON.DIST(TRANSPOSE(ROW($1:$8)-1),$AL71,FALSE)*((ROW($1:$8)-1)&gt;(TRANSPOSE(ROW($1:$8)-1))))</f>
        <v>4.5191713729309511</v>
      </c>
      <c r="AO71" s="78" cm="1">
        <f t="array" ref="AO71">1/SUMPRODUCT(_xlfn.POISSON.DIST(ROW($1:$8)-1,$AK71,FALSE)*_xlfn.POISSON.DIST(TRANSPOSE(ROW($1:$8)-1),$AL71,FALSE)*((ROW($1:$8)-1)=(TRANSPOSE(ROW($1:$8)-1))))</f>
        <v>4.3685750441191118</v>
      </c>
      <c r="AP71" s="78" cm="1">
        <f t="array" ref="AP71">1/SUMPRODUCT(_xlfn.POISSON.DIST(ROW($1:$8)-1,$AK71,FALSE)*_xlfn.POISSON.DIST(TRANSPOSE(ROW($1:$8)-1),$AL71,FALSE)*((ROW($1:$8)-1)&lt;(TRANSPOSE(ROW($1:$8)-1))))</f>
        <v>1.8208943959057113</v>
      </c>
      <c r="AQ71" s="75"/>
      <c r="AR71" s="78"/>
      <c r="AS71" s="79">
        <f t="shared" si="71"/>
        <v>6.322349467977606E-4</v>
      </c>
    </row>
    <row r="72" spans="1:93" ht="14.25" customHeight="1" x14ac:dyDescent="0.2">
      <c r="A72" s="49">
        <f t="shared" si="65"/>
        <v>1</v>
      </c>
      <c r="C72" s="49">
        <v>58</v>
      </c>
      <c r="E72" s="49" t="s">
        <v>11</v>
      </c>
      <c r="F72" s="49" t="s">
        <v>113</v>
      </c>
      <c r="G72" s="11" t="str">
        <f t="shared" si="66"/>
        <v>Japan</v>
      </c>
      <c r="H72" s="11">
        <f t="shared" si="67"/>
        <v>2.1482456548585449</v>
      </c>
      <c r="I72" s="11"/>
      <c r="J72" s="11" t="s">
        <v>35</v>
      </c>
      <c r="K72" s="11">
        <f t="shared" si="68"/>
        <v>4.0670310307065556</v>
      </c>
      <c r="L72" s="11"/>
      <c r="M72" s="11" t="str">
        <f t="shared" si="69"/>
        <v>Sweden</v>
      </c>
      <c r="N72" s="11">
        <f t="shared" si="70"/>
        <v>3.4684820052875365</v>
      </c>
      <c r="O72" s="57"/>
      <c r="P72" s="89">
        <v>46199</v>
      </c>
      <c r="Q72" s="90">
        <v>4.1666666666666664E-2</v>
      </c>
      <c r="R72" s="172" t="str">
        <f>U67</f>
        <v>Japan</v>
      </c>
      <c r="S72" s="17"/>
      <c r="T72" s="17"/>
      <c r="U72" s="174" t="str">
        <f>R68</f>
        <v>Sweden</v>
      </c>
      <c r="V72" s="57"/>
      <c r="W72" s="95"/>
      <c r="X72" s="57"/>
      <c r="Y72" s="95"/>
      <c r="Z72" s="95"/>
      <c r="AA72" s="95"/>
      <c r="AB72" s="95"/>
      <c r="AC72" s="57"/>
      <c r="AD72" s="57"/>
      <c r="AE72" s="49" t="str">
        <f t="shared" si="60"/>
        <v>Japan</v>
      </c>
      <c r="AF72" s="49" t="str">
        <f t="shared" si="61"/>
        <v>Sweden</v>
      </c>
      <c r="AG72" s="75">
        <f>_xlfn.XLOOKUP(AE72,'FIFA rankings'!$B:$B,'FIFA rankings'!$D:$D)</f>
        <v>1660.43</v>
      </c>
      <c r="AH72" s="75">
        <f>_xlfn.XLOOKUP(AF72,'FIFA rankings'!$B:$B,'FIFA rankings'!$D:$D)</f>
        <v>1514.77</v>
      </c>
      <c r="AI72" s="76">
        <f t="shared" si="62"/>
        <v>145.66000000000008</v>
      </c>
      <c r="AJ72" s="75"/>
      <c r="AK72" s="77">
        <f t="shared" si="63"/>
        <v>1.6115829664812442</v>
      </c>
      <c r="AL72" s="77">
        <f t="shared" si="64"/>
        <v>1.21619552996362</v>
      </c>
      <c r="AM72" s="75"/>
      <c r="AN72" s="78" cm="1">
        <f t="array" ref="AN72">1/SUMPRODUCT(_xlfn.POISSON.DIST(ROW($1:$8)-1,$AK72,FALSE)*_xlfn.POISSON.DIST(TRANSPOSE(ROW($1:$8)-1),$AL72,FALSE)*((ROW($1:$8)-1)&gt;(TRANSPOSE(ROW($1:$8)-1))))</f>
        <v>2.1482456548585449</v>
      </c>
      <c r="AO72" s="78" cm="1">
        <f t="array" ref="AO72">1/SUMPRODUCT(_xlfn.POISSON.DIST(ROW($1:$8)-1,$AK72,FALSE)*_xlfn.POISSON.DIST(TRANSPOSE(ROW($1:$8)-1),$AL72,FALSE)*((ROW($1:$8)-1)=(TRANSPOSE(ROW($1:$8)-1))))</f>
        <v>4.0670310307065556</v>
      </c>
      <c r="AP72" s="78" cm="1">
        <f t="array" ref="AP72">1/SUMPRODUCT(_xlfn.POISSON.DIST(ROW($1:$8)-1,$AK72,FALSE)*_xlfn.POISSON.DIST(TRANSPOSE(ROW($1:$8)-1),$AL72,FALSE)*((ROW($1:$8)-1)&lt;(TRANSPOSE(ROW($1:$8)-1))))</f>
        <v>3.4684820052875365</v>
      </c>
      <c r="AQ72" s="75"/>
      <c r="AR72" s="78"/>
      <c r="AS72" s="79">
        <f t="shared" si="71"/>
        <v>3.1371580050298942E-4</v>
      </c>
    </row>
    <row r="73" spans="1:93" ht="14.25" customHeight="1" x14ac:dyDescent="0.2">
      <c r="F73" s="49"/>
      <c r="G73" s="11"/>
      <c r="H73" s="11"/>
      <c r="I73" s="11"/>
      <c r="J73" s="11"/>
      <c r="K73" s="11"/>
      <c r="L73" s="11"/>
      <c r="M73" s="11"/>
      <c r="N73" s="11"/>
      <c r="O73" s="57"/>
      <c r="P73" s="105"/>
      <c r="Q73" s="106"/>
      <c r="R73" s="57"/>
      <c r="S73" s="57"/>
      <c r="T73" s="57"/>
      <c r="U73" s="57"/>
      <c r="V73" s="57"/>
      <c r="W73" s="95"/>
      <c r="X73" s="57"/>
      <c r="Y73" s="95"/>
      <c r="Z73" s="95"/>
      <c r="AA73" s="95"/>
      <c r="AB73" s="95"/>
      <c r="AC73" s="57"/>
      <c r="AD73" s="57"/>
    </row>
    <row r="74" spans="1:93" ht="14.25" customHeight="1" x14ac:dyDescent="0.2">
      <c r="F74" s="49" t="s">
        <v>122</v>
      </c>
      <c r="G74" s="175" t="str">
        <f>$F74 &amp; " / Odds"</f>
        <v>Group G / Odds</v>
      </c>
      <c r="H74" s="175"/>
      <c r="I74" s="175"/>
      <c r="J74" s="175"/>
      <c r="K74" s="175"/>
      <c r="L74" s="175"/>
      <c r="M74" s="175"/>
      <c r="N74" s="175"/>
      <c r="O74" s="57"/>
      <c r="P74" s="175" t="str">
        <f>$F74 &amp; " / Results"</f>
        <v>Group G / Results</v>
      </c>
      <c r="Q74" s="176"/>
      <c r="R74" s="177"/>
      <c r="S74" s="177"/>
      <c r="T74" s="177"/>
      <c r="U74" s="177"/>
      <c r="V74" s="57"/>
      <c r="W74" s="178"/>
      <c r="X74" s="179" t="str">
        <f>X66</f>
        <v>Ranking</v>
      </c>
      <c r="Y74" s="180" t="s">
        <v>24</v>
      </c>
      <c r="Z74" s="180" t="s">
        <v>25</v>
      </c>
      <c r="AA74" s="180" t="s">
        <v>26</v>
      </c>
      <c r="AB74" s="180" t="str">
        <f>"+/-"</f>
        <v>+/-</v>
      </c>
      <c r="AC74" s="57"/>
      <c r="AD74" s="57"/>
      <c r="BA74" s="181"/>
      <c r="BB74" s="181"/>
      <c r="BD74" s="63" t="s">
        <v>37</v>
      </c>
      <c r="BE74" s="64" t="s">
        <v>38</v>
      </c>
      <c r="BF74" s="65" t="s">
        <v>24</v>
      </c>
      <c r="BG74" s="66" t="s">
        <v>25</v>
      </c>
      <c r="BH74" s="65" t="s">
        <v>26</v>
      </c>
      <c r="BI74" s="67" t="s">
        <v>39</v>
      </c>
      <c r="BJ74" s="65" t="s">
        <v>40</v>
      </c>
      <c r="BK74" s="65" t="s">
        <v>41</v>
      </c>
      <c r="BL74" s="65" t="s">
        <v>42</v>
      </c>
      <c r="BM74" s="65" t="s">
        <v>43</v>
      </c>
      <c r="BN74" s="66" t="s">
        <v>44</v>
      </c>
      <c r="BO74" s="65" t="s">
        <v>45</v>
      </c>
      <c r="BP74" s="65" t="s">
        <v>46</v>
      </c>
      <c r="BQ74" s="67" t="s">
        <v>47</v>
      </c>
      <c r="BR74" s="66" t="s">
        <v>48</v>
      </c>
      <c r="BS74" s="65" t="s">
        <v>49</v>
      </c>
      <c r="BT74" s="65" t="s">
        <v>50</v>
      </c>
      <c r="BU74" s="67" t="s">
        <v>51</v>
      </c>
      <c r="BV74" s="66" t="s">
        <v>52</v>
      </c>
      <c r="BW74" s="65" t="s">
        <v>53</v>
      </c>
      <c r="BX74" s="65" t="s">
        <v>54</v>
      </c>
      <c r="BY74" s="67" t="s">
        <v>55</v>
      </c>
      <c r="BZ74" s="66" t="s">
        <v>56</v>
      </c>
      <c r="CA74" s="65" t="s">
        <v>48</v>
      </c>
      <c r="CB74" s="65" t="s">
        <v>49</v>
      </c>
      <c r="CC74" s="65" t="s">
        <v>50</v>
      </c>
      <c r="CD74" s="65" t="s">
        <v>51</v>
      </c>
      <c r="CE74" s="65" t="s">
        <v>57</v>
      </c>
      <c r="CF74" s="65" t="s">
        <v>58</v>
      </c>
      <c r="CG74" s="65" t="s">
        <v>59</v>
      </c>
      <c r="CH74" s="65" t="s">
        <v>60</v>
      </c>
      <c r="CI74" s="65" t="s">
        <v>61</v>
      </c>
      <c r="CJ74" s="65" t="s">
        <v>62</v>
      </c>
      <c r="CK74" s="65" t="s">
        <v>63</v>
      </c>
      <c r="CL74" s="66" t="s">
        <v>64</v>
      </c>
      <c r="CM74" s="65" t="s">
        <v>65</v>
      </c>
      <c r="CN74" s="65" t="s">
        <v>66</v>
      </c>
      <c r="CO74" s="67" t="s">
        <v>67</v>
      </c>
    </row>
    <row r="75" spans="1:93" ht="14.25" customHeight="1" x14ac:dyDescent="0.2">
      <c r="A75" s="49">
        <f>IF(OR(ISBLANK(S75),ISBLANK(T75)),1,0)</f>
        <v>1</v>
      </c>
      <c r="C75" s="49">
        <v>15</v>
      </c>
      <c r="D75" s="49" t="s">
        <v>123</v>
      </c>
      <c r="E75" s="49" t="s">
        <v>11</v>
      </c>
      <c r="F75" s="49" t="s">
        <v>122</v>
      </c>
      <c r="G75" s="11" t="str">
        <f>R75</f>
        <v>Belgium</v>
      </c>
      <c r="H75" s="11">
        <f>AN75</f>
        <v>2.0739023988081482</v>
      </c>
      <c r="I75" s="11"/>
      <c r="J75" s="11" t="s">
        <v>35</v>
      </c>
      <c r="K75" s="11">
        <f>AO75</f>
        <v>4.1109505615664723</v>
      </c>
      <c r="L75" s="11"/>
      <c r="M75" s="11" t="str">
        <f>U75</f>
        <v>Egypt</v>
      </c>
      <c r="N75" s="11">
        <f>AP75</f>
        <v>3.6468595970941529</v>
      </c>
      <c r="O75" s="57"/>
      <c r="P75" s="68">
        <v>46188</v>
      </c>
      <c r="Q75" s="69">
        <v>0.875</v>
      </c>
      <c r="R75" s="182" t="s">
        <v>124</v>
      </c>
      <c r="S75" s="18"/>
      <c r="T75" s="18"/>
      <c r="U75" s="183" t="s">
        <v>125</v>
      </c>
      <c r="V75" s="57"/>
      <c r="W75" s="184">
        <f>BA75</f>
        <v>1</v>
      </c>
      <c r="X75" s="185" t="str">
        <f>INDEX(BE75:BE78,MATCH(BC75,$BD75:$BD78,0))</f>
        <v>Belgium</v>
      </c>
      <c r="Y75" s="186">
        <f>INDEX(BF75:BF78,MATCH(BC75,$BD75:$BD78,0))</f>
        <v>0</v>
      </c>
      <c r="Z75" s="186">
        <f>INDEX(BG75:BG78,MATCH(BC75,$BD75:$BD78,0))</f>
        <v>0</v>
      </c>
      <c r="AA75" s="186">
        <f>INDEX(BH75:BH78,MATCH(BC75,$BD75:$BD78,0))</f>
        <v>0</v>
      </c>
      <c r="AB75" s="186">
        <f>INDEX(BI75:BI78,MATCH(BC75,$BD75:$BD78,0))</f>
        <v>0</v>
      </c>
      <c r="AC75" s="57"/>
      <c r="AD75" s="57"/>
      <c r="AE75" s="49" t="str">
        <f t="shared" ref="AE75:AE80" si="72">R75</f>
        <v>Belgium</v>
      </c>
      <c r="AF75" s="49" t="str">
        <f t="shared" ref="AF75:AF80" si="73">U75</f>
        <v>Egypt</v>
      </c>
      <c r="AG75" s="75">
        <f>_xlfn.XLOOKUP(AE75,'FIFA rankings'!$B:$B,'FIFA rankings'!$D:$D)</f>
        <v>1734.71</v>
      </c>
      <c r="AH75" s="75">
        <f>_xlfn.XLOOKUP(AF75,'FIFA rankings'!$B:$B,'FIFA rankings'!$D:$D)</f>
        <v>1563.24</v>
      </c>
      <c r="AI75" s="76">
        <f t="shared" ref="AI75:AI80" si="74">IFERROR(AG75-AH75,"n.a.")</f>
        <v>171.47000000000003</v>
      </c>
      <c r="AJ75" s="75"/>
      <c r="AK75" s="77">
        <f t="shared" ref="AK75:AK80" si="75">IFERROR($AI$7*POWER(10,$AI75/$AI$6),"n.a.")</f>
        <v>1.6522796497994294</v>
      </c>
      <c r="AL75" s="77">
        <f t="shared" ref="AL75:AL80" si="76">IFERROR($AI$7*POWER(10,-$AI75/$AI$6),"n.a.")</f>
        <v>1.1862398718267362</v>
      </c>
      <c r="AM75" s="75"/>
      <c r="AN75" s="78" cm="1">
        <f t="array" ref="AN75">1/SUMPRODUCT(_xlfn.POISSON.DIST(ROW($1:$8)-1,$AK75,FALSE)*_xlfn.POISSON.DIST(TRANSPOSE(ROW($1:$8)-1),$AL75,FALSE)*((ROW($1:$8)-1)&gt;(TRANSPOSE(ROW($1:$8)-1))))</f>
        <v>2.0739023988081482</v>
      </c>
      <c r="AO75" s="78" cm="1">
        <f t="array" ref="AO75">1/SUMPRODUCT(_xlfn.POISSON.DIST(ROW($1:$8)-1,$AK75,FALSE)*_xlfn.POISSON.DIST(TRANSPOSE(ROW($1:$8)-1),$AL75,FALSE)*((ROW($1:$8)-1)=(TRANSPOSE(ROW($1:$8)-1))))</f>
        <v>4.1109505615664723</v>
      </c>
      <c r="AP75" s="78" cm="1">
        <f t="array" ref="AP75">1/SUMPRODUCT(_xlfn.POISSON.DIST(ROW($1:$8)-1,$AK75,FALSE)*_xlfn.POISSON.DIST(TRANSPOSE(ROW($1:$8)-1),$AL75,FALSE)*((ROW($1:$8)-1)&lt;(TRANSPOSE(ROW($1:$8)-1))))</f>
        <v>3.6468595970941529</v>
      </c>
      <c r="AQ75" s="75"/>
      <c r="AR75" s="78"/>
      <c r="AS75" s="79">
        <f>1-SUM(1/AN75,1/AO75,1/AP75)</f>
        <v>3.5596126261416838E-4</v>
      </c>
      <c r="BA75" s="80">
        <v>1</v>
      </c>
      <c r="BB75" s="80">
        <f>ROUND(BC75,0)</f>
        <v>2</v>
      </c>
      <c r="BC75" s="81">
        <f>MIN(BD75:BD78)</f>
        <v>2.4500000000000002</v>
      </c>
      <c r="BD75" s="82">
        <f>SUM(BV75:BY75)+2.45</f>
        <v>2.4500000000000002</v>
      </c>
      <c r="BE75" s="83" t="str">
        <f>R75</f>
        <v>Belgium</v>
      </c>
      <c r="BF75" s="51">
        <f>SUM(BJ75:BM75)</f>
        <v>0</v>
      </c>
      <c r="BG75" s="84">
        <f>S75+S77+T79</f>
        <v>0</v>
      </c>
      <c r="BH75" s="51">
        <f>T75+T77+S79</f>
        <v>0</v>
      </c>
      <c r="BI75" s="85">
        <f>BG75-BH75</f>
        <v>0</v>
      </c>
      <c r="BJ75" s="51" t="s">
        <v>71</v>
      </c>
      <c r="BK75" s="51">
        <f>IF(ISBLANK(S75),0,IF(S75&gt;T75,3,IF(S75=T75,1,0)))</f>
        <v>0</v>
      </c>
      <c r="BL75" s="51">
        <f>IF(ISBLANK(S77),0,IF(S77&gt;T77,3,IF(S77=T77,1,0)))</f>
        <v>0</v>
      </c>
      <c r="BM75" s="51">
        <f>IF(ISBLANK(T79),0,IF(T79&gt;S79,3,IF(T79=S79,1,0)))</f>
        <v>0</v>
      </c>
      <c r="BN75" s="84" t="s">
        <v>71</v>
      </c>
      <c r="BO75" s="51" t="b">
        <f>(10*(BI75-BI76)+BG75-BG76&gt;0)</f>
        <v>0</v>
      </c>
      <c r="BP75" s="51" t="b">
        <f>10*(BI75-BI77)+BG75-BG77&gt;0</f>
        <v>0</v>
      </c>
      <c r="BQ75" s="85" t="b">
        <f>10*(BI75-BI78)+BG75-BG78&gt;0</f>
        <v>0</v>
      </c>
      <c r="BR75" s="84">
        <f>10000*(BK75+BL75)+(S77-T77+S75-T75)*100+(S77+S75)</f>
        <v>0</v>
      </c>
      <c r="BS75" s="51">
        <f>10000*(BK75+BM75)+(S75-T75+T79-S79)*100+(S75+T79)</f>
        <v>0</v>
      </c>
      <c r="BT75" s="51">
        <f>10000*(BL75+BM75)+(T79-S79+S77-T77)*100+(T79+S77)</f>
        <v>0</v>
      </c>
      <c r="BU75" s="85" t="s">
        <v>71</v>
      </c>
      <c r="BV75" s="84" t="s">
        <v>71</v>
      </c>
      <c r="BW75" s="86">
        <f>IF($BF75&gt;$BF76,-0.5,IF($BF76&gt;$BF75,0.5,IF(BO75,-0.5,IF(BN76,0.5,CM75))))</f>
        <v>0</v>
      </c>
      <c r="BX75" s="86">
        <f>IF($BF75&gt;$BF77,-0.5,IF($BF77&gt;$BF75,0.5,IF(BP75,-0.5,IF(BN77,0.5,CN75))))</f>
        <v>0</v>
      </c>
      <c r="BY75" s="87">
        <f>IF($BF75&gt;$BF78,-0.5,IF($BF78&gt;$BF75,0.5,IF(BQ75,-0.5,IF(BN78,0.5,CO75))))</f>
        <v>0</v>
      </c>
      <c r="BZ75" s="88" t="b">
        <f>AND(AND(BF75=BF76,BF76=BF77,BF77=BF78),AND(BG75=BG76,BG76=BG77,BG77=BG78),AND(BH75=BH76,BH76=BH77,BH77=BH78))</f>
        <v>1</v>
      </c>
      <c r="CA75" s="88" t="b">
        <f>AND(NOT(BZ75),BF75=BF76,BF75=BF77,BG75=BG76,BG75=BG77,BH75=BH76,BH75=BH77)</f>
        <v>0</v>
      </c>
      <c r="CB75" s="88" t="b">
        <f>AND(NOT(BZ75),BF75=BF76,BF75=BF78,BG75=BG76,BG75=BG78,BH75=BH76,BH75=BH78)</f>
        <v>0</v>
      </c>
      <c r="CC75" s="88" t="b">
        <f>AND(NOT(BZ75),BF75=BF77,BF75=BF78,BG75=BG77,BG75=BG78,BH75=BH77,BH75=BH78)</f>
        <v>0</v>
      </c>
      <c r="CD75" s="88" t="b">
        <f>AND(NOT(BZ75),BF76=BF77,BF76=BF78,BG76=BG77,BG76=BG78,BH76=BH77,BH76=BH78)</f>
        <v>0</v>
      </c>
      <c r="CE75" s="88" t="b">
        <f>AND(NOT(BZ75),NOT(CA75),NOT(CB75),BF75=BF76,BG75=BG76,BH75=BH76)</f>
        <v>0</v>
      </c>
      <c r="CF75" s="88" t="b">
        <f>AND(NOT(BZ75),NOT(CA75),NOT(CC75),BF75=BF77,BG75=BG77,BH75=BH77)</f>
        <v>0</v>
      </c>
      <c r="CG75" s="88" t="b">
        <f>AND(NOT(BZ75),NOT(CB75),NOT(CC75),BF75=BF78,BG75=BG78,BH75=BH78)</f>
        <v>0</v>
      </c>
      <c r="CH75" s="88" t="b">
        <f>AND(NOT(BZ75),NOT(CA75),NOT(CD75),BF76=BF77,BG76=BG77)</f>
        <v>0</v>
      </c>
      <c r="CI75" s="88" t="b">
        <f>AND(NOT(BZ75),NOT(CB75),NOT(CD75),BF76=BF78,BG76=BG78,BH76=BH78)</f>
        <v>0</v>
      </c>
      <c r="CJ75" s="88" t="b">
        <f>AND(NOT(BZ75),NOT(CC75),NOT(CD75),BF77=BF78,BG77=BG78,BH77=BH78)</f>
        <v>0</v>
      </c>
      <c r="CK75" s="88" t="b">
        <f t="array" ref="CK75">AND(NOT(BZ75:CJ75))</f>
        <v>0</v>
      </c>
      <c r="CL75" s="84" t="s">
        <v>71</v>
      </c>
      <c r="CM75" s="51">
        <f>IF($CE75,IF(T75-S75&lt;0,-0.5,IF(S75-T75&lt;0,0.5,0)),IF($CA75,IF($BR75&gt;$BR76,-0.5,IF($BR75&lt;$BR76,0.5,0)),IF($CB75,IF($BS75&gt;$BS76,-0.5, IF($BS75&lt;$BS76,0.5,0)),0)))</f>
        <v>0</v>
      </c>
      <c r="CN75" s="51">
        <f>IF($CF75,IF(T77-S77&lt;0,-0.5,IF(S77-T77&lt;0,0.5,0)),IF($CA75,IF($BR75&gt;$BR77,-0.5,IF($BR75&lt;$BR77,0.5,0)),IF($CC75,IF($BT75&gt;$BT77,-0.5,IF($BT75&lt;$BT77,0.5,0)),0)))</f>
        <v>0</v>
      </c>
      <c r="CO75" s="85">
        <f>IF($CG75,IF(S79-T79&lt;0,-0.5,IF(T79-S79&lt;0,0.5,0)),IF($CB75,IF($BS75&gt;$BS78,-0.5,IF($BS75&lt;$BS78,0.5,0)),IF($CC75,IF($BT75&gt;$BT78,-0.5, IF($BT75&lt;$BT78,0.5,0)),0)))</f>
        <v>0</v>
      </c>
    </row>
    <row r="76" spans="1:93" ht="14.25" customHeight="1" x14ac:dyDescent="0.2">
      <c r="A76" s="49">
        <f t="shared" ref="A76:A80" si="77">IF(OR(ISBLANK(S76),ISBLANK(T76)),1,0)</f>
        <v>1</v>
      </c>
      <c r="C76" s="49">
        <v>16</v>
      </c>
      <c r="D76" s="49" t="s">
        <v>126</v>
      </c>
      <c r="E76" s="49" t="s">
        <v>11</v>
      </c>
      <c r="F76" s="49" t="s">
        <v>122</v>
      </c>
      <c r="G76" s="11" t="str">
        <f t="shared" ref="G76:G80" si="78">R76</f>
        <v>IR Iran</v>
      </c>
      <c r="H76" s="11">
        <f t="shared" ref="H76:H80" si="79">AN76</f>
        <v>1.7036080652493781</v>
      </c>
      <c r="I76" s="11"/>
      <c r="J76" s="11" t="s">
        <v>35</v>
      </c>
      <c r="K76" s="11">
        <f t="shared" ref="K76:K80" si="80">AO76</f>
        <v>4.5812903705974835</v>
      </c>
      <c r="L76" s="11"/>
      <c r="M76" s="11" t="str">
        <f t="shared" ref="M76:M80" si="81">U76</f>
        <v>New Zealand</v>
      </c>
      <c r="N76" s="11">
        <f t="shared" ref="N76:N80" si="82">AP76</f>
        <v>5.1590034268952456</v>
      </c>
      <c r="O76" s="57"/>
      <c r="P76" s="89">
        <v>46189</v>
      </c>
      <c r="Q76" s="90">
        <v>0.125</v>
      </c>
      <c r="R76" s="185" t="s">
        <v>127</v>
      </c>
      <c r="S76" s="18"/>
      <c r="T76" s="18"/>
      <c r="U76" s="187" t="s">
        <v>128</v>
      </c>
      <c r="V76" s="57"/>
      <c r="W76" s="184">
        <f>BA76</f>
        <v>1</v>
      </c>
      <c r="X76" s="185" t="str">
        <f>INDEX(BE75:BE78,MATCH(BC76,$BD75:$BD78,0))</f>
        <v>Egypt</v>
      </c>
      <c r="Y76" s="186">
        <f>INDEX(BF75:BF78,MATCH(BC76,$BD75:$BD78,0))</f>
        <v>0</v>
      </c>
      <c r="Z76" s="186">
        <f>INDEX(BG75:BG78,MATCH(BC76,$BD75:$BD78,0))</f>
        <v>0</v>
      </c>
      <c r="AA76" s="186">
        <f>INDEX(BH75:BH78,MATCH(BC76,$BD75:$BD78,0))</f>
        <v>0</v>
      </c>
      <c r="AB76" s="186">
        <f>INDEX(BI75:BI78,MATCH(BC76,$BD75:$BD78,0))</f>
        <v>0</v>
      </c>
      <c r="AC76" s="57"/>
      <c r="AD76" s="57"/>
      <c r="AE76" s="49" t="str">
        <f t="shared" si="72"/>
        <v>IR Iran</v>
      </c>
      <c r="AF76" s="49" t="str">
        <f t="shared" si="73"/>
        <v>New Zealand</v>
      </c>
      <c r="AG76" s="75">
        <f>_xlfn.XLOOKUP(AE76,'FIFA rankings'!$B:$B,'FIFA rankings'!$D:$D)</f>
        <v>1615.3</v>
      </c>
      <c r="AH76" s="75">
        <f>_xlfn.XLOOKUP(AF76,'FIFA rankings'!$B:$B,'FIFA rankings'!$D:$D)</f>
        <v>1281.57</v>
      </c>
      <c r="AI76" s="76">
        <f t="shared" si="74"/>
        <v>333.73</v>
      </c>
      <c r="AJ76" s="75"/>
      <c r="AK76" s="77">
        <f t="shared" si="75"/>
        <v>1.9327433870019084</v>
      </c>
      <c r="AL76" s="77">
        <f t="shared" si="76"/>
        <v>1.0141025514206374</v>
      </c>
      <c r="AM76" s="75"/>
      <c r="AN76" s="78" cm="1">
        <f t="array" ref="AN76">1/SUMPRODUCT(_xlfn.POISSON.DIST(ROW($1:$8)-1,$AK76,FALSE)*_xlfn.POISSON.DIST(TRANSPOSE(ROW($1:$8)-1),$AL76,FALSE)*((ROW($1:$8)-1)&gt;(TRANSPOSE(ROW($1:$8)-1))))</f>
        <v>1.7036080652493781</v>
      </c>
      <c r="AO76" s="78" cm="1">
        <f t="array" ref="AO76">1/SUMPRODUCT(_xlfn.POISSON.DIST(ROW($1:$8)-1,$AK76,FALSE)*_xlfn.POISSON.DIST(TRANSPOSE(ROW($1:$8)-1),$AL76,FALSE)*((ROW($1:$8)-1)=(TRANSPOSE(ROW($1:$8)-1))))</f>
        <v>4.5812903705974835</v>
      </c>
      <c r="AP76" s="78" cm="1">
        <f t="array" ref="AP76">1/SUMPRODUCT(_xlfn.POISSON.DIST(ROW($1:$8)-1,$AK76,FALSE)*_xlfn.POISSON.DIST(TRANSPOSE(ROW($1:$8)-1),$AL76,FALSE)*((ROW($1:$8)-1)&lt;(TRANSPOSE(ROW($1:$8)-1))))</f>
        <v>5.1590034268952456</v>
      </c>
      <c r="AQ76" s="75"/>
      <c r="AR76" s="78"/>
      <c r="AS76" s="79">
        <f t="shared" ref="AS76:AS80" si="83">1-SUM(1/AN76,1/AO76,1/AP76)</f>
        <v>8.9552794145331127E-4</v>
      </c>
      <c r="BA76" s="80">
        <f>IF(ROUND(BC76,0)=ROUND(BC75,0),BA75,2)</f>
        <v>1</v>
      </c>
      <c r="BB76" s="80">
        <f>ROUND(BC76,0)</f>
        <v>2</v>
      </c>
      <c r="BC76" s="81">
        <f>MAX(MIN(BD75:BD77),MIN(BD75,BD76,BD78),MIN(BD75,BD77,BD78),MIN(BD76:BD78))</f>
        <v>2.46</v>
      </c>
      <c r="BD76" s="92">
        <f>SUM(BV76:BY76)+2.46</f>
        <v>2.46</v>
      </c>
      <c r="BE76" s="83" t="str">
        <f>U75</f>
        <v>Egypt</v>
      </c>
      <c r="BF76" s="51">
        <f>SUM(BJ76:BM76)</f>
        <v>0</v>
      </c>
      <c r="BG76" s="84">
        <f>T75+T78+S80</f>
        <v>0</v>
      </c>
      <c r="BH76" s="51">
        <f>S75+S78+T80</f>
        <v>0</v>
      </c>
      <c r="BI76" s="85">
        <f>BG76-BH76</f>
        <v>0</v>
      </c>
      <c r="BJ76" s="51">
        <f>IF(ISBLANK(T75),0,IF(BK75=3,0,IF(BK75=1,1,3)))</f>
        <v>0</v>
      </c>
      <c r="BK76" s="51" t="s">
        <v>71</v>
      </c>
      <c r="BL76" s="51">
        <f>IF(ISBLANK(S80),0,IF(BK77=3,0,IF(BK77=1,1,3)))</f>
        <v>0</v>
      </c>
      <c r="BM76" s="51">
        <f>IF(ISBLANK(T78),0,IF(T78&gt;S78,3,IF(T78=S78,1,0)))</f>
        <v>0</v>
      </c>
      <c r="BN76" s="84" t="b">
        <f>(10*(BI75-BI76)+BG75-BG76&lt;0)</f>
        <v>0</v>
      </c>
      <c r="BO76" s="51" t="s">
        <v>71</v>
      </c>
      <c r="BP76" s="51" t="b">
        <f>10*(BI76-BI77)+BG76-BG77&gt;0</f>
        <v>0</v>
      </c>
      <c r="BQ76" s="85" t="b">
        <f>10*(BI76-BI78)+BG76-BG78&gt;0</f>
        <v>0</v>
      </c>
      <c r="BR76" s="84">
        <f>10000*(BJ76+BL76)+(T75-S75+S80-T80)*100+(T75+S80)</f>
        <v>0</v>
      </c>
      <c r="BS76" s="51">
        <f>10000*(BJ76+BM76)+(T75-S75+T78-S78)*100+(T75+T78)</f>
        <v>0</v>
      </c>
      <c r="BT76" s="51" t="s">
        <v>71</v>
      </c>
      <c r="BU76" s="85">
        <f>10000*(BL76+BM76)+(T78-S78+S80-T80)*100+(T78+S80)</f>
        <v>0</v>
      </c>
      <c r="BV76" s="93">
        <f>-BW75</f>
        <v>0</v>
      </c>
      <c r="BW76" s="51" t="s">
        <v>71</v>
      </c>
      <c r="BX76" s="86">
        <f>IF($BF76&gt;$BF77,-0.5,IF($BF77&gt;$BF76,0.5,IF(BP76,-0.5,IF(BO77,0.5,CN76))))</f>
        <v>0</v>
      </c>
      <c r="BY76" s="87">
        <f>IF($BF76&gt;$BF78,-0.5,IF($BF78&gt;$BF76,0.5,IF(BQ76,-0.5,IF(BO78,0.5,CO76))))</f>
        <v>0</v>
      </c>
      <c r="CL76" s="84"/>
      <c r="CM76" s="51" t="s">
        <v>71</v>
      </c>
      <c r="CN76" s="51">
        <f>IF($CH75,IF(T80-S80&lt;0,-0.5,IF(S80-T80&lt;0,0.5,0)),IF($CA75,IF($BR76&gt;$BR77,-0.5,IF($BR76&lt;$BR77,0.5,0)),IF($CD75,IF($BU76&gt;$BU77,-0.5,IF($BU76&lt;$BU77,0.5,0)),0)))</f>
        <v>0</v>
      </c>
      <c r="CO76" s="85">
        <f>IF($CI75,IF(S78-T78&lt;0,-0.5,IF(T78-S78&lt;0,0.5,0)),IF($CB75,IF($BS76&gt;$BS78,-0.5,IF($BS76&lt;$BS78,0.5,0)),IF($CD75,IF($BU76&gt;$BU78,-0.5,IF($BU76&lt;$BU78,0.5,0)),0)))</f>
        <v>0</v>
      </c>
    </row>
    <row r="77" spans="1:93" ht="14.25" customHeight="1" x14ac:dyDescent="0.2">
      <c r="A77" s="49">
        <f t="shared" si="77"/>
        <v>1</v>
      </c>
      <c r="C77" s="49">
        <v>39</v>
      </c>
      <c r="D77" s="49" t="s">
        <v>129</v>
      </c>
      <c r="E77" s="49" t="s">
        <v>11</v>
      </c>
      <c r="F77" s="49" t="s">
        <v>122</v>
      </c>
      <c r="G77" s="11" t="str">
        <f t="shared" si="78"/>
        <v>Belgium</v>
      </c>
      <c r="H77" s="11">
        <f t="shared" si="79"/>
        <v>2.2291492147532095</v>
      </c>
      <c r="I77" s="11"/>
      <c r="J77" s="11" t="s">
        <v>35</v>
      </c>
      <c r="K77" s="11">
        <f t="shared" si="80"/>
        <v>4.0301079551639427</v>
      </c>
      <c r="L77" s="11"/>
      <c r="M77" s="11" t="str">
        <f t="shared" si="81"/>
        <v>IR Iran</v>
      </c>
      <c r="N77" s="11">
        <f t="shared" si="82"/>
        <v>3.3004746463988952</v>
      </c>
      <c r="O77" s="57"/>
      <c r="P77" s="68">
        <v>46194</v>
      </c>
      <c r="Q77" s="69">
        <v>0.875</v>
      </c>
      <c r="R77" s="182" t="str">
        <f>R75</f>
        <v>Belgium</v>
      </c>
      <c r="S77" s="18"/>
      <c r="T77" s="18"/>
      <c r="U77" s="183" t="str">
        <f>R76</f>
        <v>IR Iran</v>
      </c>
      <c r="V77" s="57"/>
      <c r="W77" s="94">
        <f>BA77</f>
        <v>1</v>
      </c>
      <c r="X77" s="57" t="str">
        <f>INDEX(BE75:BE78,MATCH(BC77,$BD75:$BD78,0))</f>
        <v>IR Iran</v>
      </c>
      <c r="Y77" s="95">
        <f>INDEX(BF75:BF78,MATCH(BC77,$BD75:$BD78,0))</f>
        <v>0</v>
      </c>
      <c r="Z77" s="95">
        <f>INDEX(BG75:BG78,MATCH(BC77,$BD75:$BD78,0))</f>
        <v>0</v>
      </c>
      <c r="AA77" s="95">
        <f>INDEX(BH75:BH78,MATCH(BC77,$BD75:$BD78,0))</f>
        <v>0</v>
      </c>
      <c r="AB77" s="95">
        <f>INDEX(BI75:BI78,MATCH(BC77,$BD75:$BD78,0))</f>
        <v>0</v>
      </c>
      <c r="AC77" s="57"/>
      <c r="AD77" s="57"/>
      <c r="AE77" s="49" t="str">
        <f t="shared" si="72"/>
        <v>Belgium</v>
      </c>
      <c r="AF77" s="49" t="str">
        <f t="shared" si="73"/>
        <v>IR Iran</v>
      </c>
      <c r="AG77" s="75">
        <f>_xlfn.XLOOKUP(AE77,'FIFA rankings'!$B:$B,'FIFA rankings'!$D:$D)</f>
        <v>1734.71</v>
      </c>
      <c r="AH77" s="75">
        <f>_xlfn.XLOOKUP(AF77,'FIFA rankings'!$B:$B,'FIFA rankings'!$D:$D)</f>
        <v>1615.3</v>
      </c>
      <c r="AI77" s="76">
        <f t="shared" si="74"/>
        <v>119.41000000000008</v>
      </c>
      <c r="AJ77" s="75"/>
      <c r="AK77" s="77">
        <f t="shared" si="75"/>
        <v>1.5712205182626342</v>
      </c>
      <c r="AL77" s="77">
        <f t="shared" si="76"/>
        <v>1.2474378848917118</v>
      </c>
      <c r="AM77" s="75"/>
      <c r="AN77" s="78" cm="1">
        <f t="array" ref="AN77">1/SUMPRODUCT(_xlfn.POISSON.DIST(ROW($1:$8)-1,$AK77,FALSE)*_xlfn.POISSON.DIST(TRANSPOSE(ROW($1:$8)-1),$AL77,FALSE)*((ROW($1:$8)-1)&gt;(TRANSPOSE(ROW($1:$8)-1))))</f>
        <v>2.2291492147532095</v>
      </c>
      <c r="AO77" s="78" cm="1">
        <f t="array" ref="AO77">1/SUMPRODUCT(_xlfn.POISSON.DIST(ROW($1:$8)-1,$AK77,FALSE)*_xlfn.POISSON.DIST(TRANSPOSE(ROW($1:$8)-1),$AL77,FALSE)*((ROW($1:$8)-1)=(TRANSPOSE(ROW($1:$8)-1))))</f>
        <v>4.0301079551639427</v>
      </c>
      <c r="AP77" s="78" cm="1">
        <f t="array" ref="AP77">1/SUMPRODUCT(_xlfn.POISSON.DIST(ROW($1:$8)-1,$AK77,FALSE)*_xlfn.POISSON.DIST(TRANSPOSE(ROW($1:$8)-1),$AL77,FALSE)*((ROW($1:$8)-1)&lt;(TRANSPOSE(ROW($1:$8)-1))))</f>
        <v>3.3004746463988952</v>
      </c>
      <c r="AQ77" s="75"/>
      <c r="AR77" s="78"/>
      <c r="AS77" s="79">
        <f t="shared" si="83"/>
        <v>2.7932245553552448E-4</v>
      </c>
      <c r="BA77" s="80">
        <f>IF(ROUND(BC77,0)=ROUND(BC76,0),BA76,3)</f>
        <v>1</v>
      </c>
      <c r="BB77" s="80">
        <f>ROUND(BC77,0)</f>
        <v>2</v>
      </c>
      <c r="BC77" s="81">
        <f>MIN(MAX(BD75:BD77),MAX(BD75,BD76,BD78),MAX(BD75,BD77,BD78),MAX(BD76:BD78))</f>
        <v>2.4700000000000002</v>
      </c>
      <c r="BD77" s="92">
        <f>SUM(BV77:BY77)+2.47</f>
        <v>2.4700000000000002</v>
      </c>
      <c r="BE77" s="83" t="str">
        <f>R76</f>
        <v>IR Iran</v>
      </c>
      <c r="BF77" s="51">
        <f>SUM(BJ77:BM77)</f>
        <v>0</v>
      </c>
      <c r="BG77" s="84">
        <f>S76+T77+T80</f>
        <v>0</v>
      </c>
      <c r="BH77" s="51">
        <f>T76+S77+S80</f>
        <v>0</v>
      </c>
      <c r="BI77" s="85">
        <f>BG77-BH77</f>
        <v>0</v>
      </c>
      <c r="BJ77" s="51">
        <f>IF(ISBLANK(T77),0,IF(BL75=3,0,IF(BL75=1,1,3)))</f>
        <v>0</v>
      </c>
      <c r="BK77" s="51">
        <f>IF(ISBLANK(T80),0,IF(T80&gt;S80,3,IF(T80=S80,1,0)))</f>
        <v>0</v>
      </c>
      <c r="BL77" s="51" t="s">
        <v>71</v>
      </c>
      <c r="BM77" s="51">
        <f>IF(ISBLANK(S76),0,IF(S76&gt;T76,3,IF(S76=T76,1,0)))</f>
        <v>0</v>
      </c>
      <c r="BN77" s="84" t="b">
        <f>10*(BI75-BI77)+BG75-BG77&lt;0</f>
        <v>0</v>
      </c>
      <c r="BO77" s="51" t="b">
        <f>10*(BI76-BI77)+BG76-BG77&lt;0</f>
        <v>0</v>
      </c>
      <c r="BP77" s="51" t="s">
        <v>71</v>
      </c>
      <c r="BQ77" s="85" t="b">
        <f>10*(BI77-BI78)+BG77-BG78&gt;0</f>
        <v>0</v>
      </c>
      <c r="BR77" s="84">
        <f>10000*(BJ77+BK77)+(T77-S77+T80-S80)*100+(T77+T80)</f>
        <v>0</v>
      </c>
      <c r="BS77" s="51" t="s">
        <v>71</v>
      </c>
      <c r="BT77" s="51">
        <f>10000*(BJ77+BM77)+(S76-T76+T77-S77)*100+(S76+T77)</f>
        <v>0</v>
      </c>
      <c r="BU77" s="85">
        <f>10000*(BK77+BM77)+(S76-T76+T80-S80)*100+(S76+T80)</f>
        <v>0</v>
      </c>
      <c r="BV77" s="93">
        <f>-BX75</f>
        <v>0</v>
      </c>
      <c r="BW77" s="86">
        <f>-BX76</f>
        <v>0</v>
      </c>
      <c r="BX77" s="86" t="s">
        <v>71</v>
      </c>
      <c r="BY77" s="87">
        <f>IF($BF77&gt;$BF78,-0.5,IF($BF78&gt;$BF77,0.5,IF(BQ77,-0.5,IF(BP78,0.5,CO77))))</f>
        <v>0</v>
      </c>
      <c r="CL77" s="84"/>
      <c r="CM77" s="51"/>
      <c r="CN77" s="51" t="s">
        <v>71</v>
      </c>
      <c r="CO77" s="85">
        <f>IF($CJ75,IF(T76-S76&lt;0,-0.5,IF(S76-T76&lt;0,0.5,0)),IF($CC75,IF($BT77&gt;$BT78,-0.5,IF($BT77&lt;$BT78,0.5,0)),IF($CD75,IF($BU77&gt;$BU78,-0.5,IF($BU77&lt;$BU78,0.5,0)),0)))</f>
        <v>0</v>
      </c>
    </row>
    <row r="78" spans="1:93" ht="14.25" customHeight="1" x14ac:dyDescent="0.2">
      <c r="A78" s="49">
        <f t="shared" si="77"/>
        <v>1</v>
      </c>
      <c r="C78" s="49">
        <v>40</v>
      </c>
      <c r="D78" s="49" t="s">
        <v>130</v>
      </c>
      <c r="E78" s="49" t="s">
        <v>11</v>
      </c>
      <c r="F78" s="49" t="s">
        <v>122</v>
      </c>
      <c r="G78" s="11" t="str">
        <f t="shared" si="78"/>
        <v>New Zealand</v>
      </c>
      <c r="H78" s="11">
        <f t="shared" si="79"/>
        <v>4.5875096937762434</v>
      </c>
      <c r="I78" s="11"/>
      <c r="J78" s="11" t="s">
        <v>35</v>
      </c>
      <c r="K78" s="11">
        <f t="shared" si="80"/>
        <v>4.3906609318063587</v>
      </c>
      <c r="L78" s="11"/>
      <c r="M78" s="11" t="str">
        <f t="shared" si="81"/>
        <v>Egypt</v>
      </c>
      <c r="N78" s="11">
        <f t="shared" si="82"/>
        <v>1.8063500936007459</v>
      </c>
      <c r="O78" s="57"/>
      <c r="P78" s="89">
        <v>46195</v>
      </c>
      <c r="Q78" s="90">
        <v>0.125</v>
      </c>
      <c r="R78" s="185" t="str">
        <f>U76</f>
        <v>New Zealand</v>
      </c>
      <c r="S78" s="18"/>
      <c r="T78" s="18"/>
      <c r="U78" s="187" t="str">
        <f>U75</f>
        <v>Egypt</v>
      </c>
      <c r="V78" s="57"/>
      <c r="W78" s="94">
        <f>BA78</f>
        <v>1</v>
      </c>
      <c r="X78" s="57" t="str">
        <f>INDEX(BE75:BE78,MATCH(BC78,$BD75:$BD78,0))</f>
        <v>New Zealand</v>
      </c>
      <c r="Y78" s="95">
        <f>INDEX(BF75:BF78,MATCH(BC78,$BD75:$BD78,0))</f>
        <v>0</v>
      </c>
      <c r="Z78" s="95">
        <f>INDEX(BG75:BG78,MATCH(BC78,$BD75:$BD78,0))</f>
        <v>0</v>
      </c>
      <c r="AA78" s="95">
        <f>INDEX(BH75:BH78,MATCH(BC78,$BD75:$BD78,0))</f>
        <v>0</v>
      </c>
      <c r="AB78" s="95">
        <f>INDEX(BI75:BI78,MATCH(BC78,$BD75:$BD78,0))</f>
        <v>0</v>
      </c>
      <c r="AC78" s="57"/>
      <c r="AD78" s="57"/>
      <c r="AE78" s="49" t="str">
        <f t="shared" si="72"/>
        <v>New Zealand</v>
      </c>
      <c r="AF78" s="49" t="str">
        <f t="shared" si="73"/>
        <v>Egypt</v>
      </c>
      <c r="AG78" s="75">
        <f>_xlfn.XLOOKUP(AE78,'FIFA rankings'!$B:$B,'FIFA rankings'!$D:$D)</f>
        <v>1281.57</v>
      </c>
      <c r="AH78" s="75">
        <f>_xlfn.XLOOKUP(AF78,'FIFA rankings'!$B:$B,'FIFA rankings'!$D:$D)</f>
        <v>1563.24</v>
      </c>
      <c r="AI78" s="76">
        <f t="shared" si="74"/>
        <v>-281.67000000000007</v>
      </c>
      <c r="AJ78" s="75"/>
      <c r="AK78" s="77">
        <f t="shared" si="75"/>
        <v>1.0664200149160223</v>
      </c>
      <c r="AL78" s="77">
        <f t="shared" si="76"/>
        <v>1.8379249944538449</v>
      </c>
      <c r="AM78" s="75"/>
      <c r="AN78" s="78" cm="1">
        <f t="array" ref="AN78">1/SUMPRODUCT(_xlfn.POISSON.DIST(ROW($1:$8)-1,$AK78,FALSE)*_xlfn.POISSON.DIST(TRANSPOSE(ROW($1:$8)-1),$AL78,FALSE)*((ROW($1:$8)-1)&gt;(TRANSPOSE(ROW($1:$8)-1))))</f>
        <v>4.5875096937762434</v>
      </c>
      <c r="AO78" s="78" cm="1">
        <f t="array" ref="AO78">1/SUMPRODUCT(_xlfn.POISSON.DIST(ROW($1:$8)-1,$AK78,FALSE)*_xlfn.POISSON.DIST(TRANSPOSE(ROW($1:$8)-1),$AL78,FALSE)*((ROW($1:$8)-1)=(TRANSPOSE(ROW($1:$8)-1))))</f>
        <v>4.3906609318063587</v>
      </c>
      <c r="AP78" s="78" cm="1">
        <f t="array" ref="AP78">1/SUMPRODUCT(_xlfn.POISSON.DIST(ROW($1:$8)-1,$AK78,FALSE)*_xlfn.POISSON.DIST(TRANSPOSE(ROW($1:$8)-1),$AL78,FALSE)*((ROW($1:$8)-1)&lt;(TRANSPOSE(ROW($1:$8)-1))))</f>
        <v>1.8063500936007459</v>
      </c>
      <c r="AQ78" s="75"/>
      <c r="AR78" s="78"/>
      <c r="AS78" s="79">
        <f t="shared" si="83"/>
        <v>6.5812614464355601E-4</v>
      </c>
      <c r="BA78" s="80">
        <f>IF(ROUND(BC78,0)=ROUND(BC77,0),BA77,4)</f>
        <v>1</v>
      </c>
      <c r="BB78" s="80">
        <f>ROUND(BC78,0)</f>
        <v>2</v>
      </c>
      <c r="BC78" s="81">
        <f>MAX(BD75:BD78)</f>
        <v>2.48</v>
      </c>
      <c r="BD78" s="96">
        <f>SUM(BV78:BY78)+2.48</f>
        <v>2.48</v>
      </c>
      <c r="BE78" s="97" t="str">
        <f>U76</f>
        <v>New Zealand</v>
      </c>
      <c r="BF78" s="88">
        <f>SUM(BJ78:BM78)</f>
        <v>0</v>
      </c>
      <c r="BG78" s="98">
        <f>T76+S78+S79</f>
        <v>0</v>
      </c>
      <c r="BH78" s="88">
        <f>S76+T78+T79</f>
        <v>0</v>
      </c>
      <c r="BI78" s="99">
        <f>BG78-BH78</f>
        <v>0</v>
      </c>
      <c r="BJ78" s="88">
        <f>IF(ISBLANK(S79),0,IF(BM75=3,0,IF(BM75=1,1,3)))</f>
        <v>0</v>
      </c>
      <c r="BK78" s="88">
        <f>IF(ISBLANK(S78),0,IF(BM76=3,0,IF(BM76=1,1,3)))</f>
        <v>0</v>
      </c>
      <c r="BL78" s="88">
        <f>IF(ISBLANK(T76),0,IF(BM77=3,0,IF(BM77=1,1,3)))</f>
        <v>0</v>
      </c>
      <c r="BM78" s="88" t="s">
        <v>71</v>
      </c>
      <c r="BN78" s="98" t="b">
        <f>10*(BI75-BI78)+BG75-BG78&lt;0</f>
        <v>0</v>
      </c>
      <c r="BO78" s="88" t="b">
        <f>10*(BI76-BI78)+BG76-BG78&lt;0</f>
        <v>0</v>
      </c>
      <c r="BP78" s="88" t="b">
        <f>10*(BI77-BI78)+BG77-BG78&lt;0</f>
        <v>0</v>
      </c>
      <c r="BQ78" s="99" t="s">
        <v>71</v>
      </c>
      <c r="BR78" s="98" t="s">
        <v>71</v>
      </c>
      <c r="BS78" s="88">
        <f>10000*(BJ78+BK78)+(S78-T78+S79-T79)*100+(S78+S79)</f>
        <v>0</v>
      </c>
      <c r="BT78" s="88">
        <f>10000*(BJ78+BL78)+(S79-T79+T76-S76)*100+(S79+T76)</f>
        <v>0</v>
      </c>
      <c r="BU78" s="99">
        <f>10000*(BK78+BL78)+(S78-T78+T76-S76)*100+(S78+T76)</f>
        <v>0</v>
      </c>
      <c r="BV78" s="100">
        <f>-BY75</f>
        <v>0</v>
      </c>
      <c r="BW78" s="101">
        <f>-BY76</f>
        <v>0</v>
      </c>
      <c r="BX78" s="101">
        <f>-BY77</f>
        <v>0</v>
      </c>
      <c r="BY78" s="99" t="s">
        <v>71</v>
      </c>
      <c r="CL78" s="98"/>
      <c r="CM78" s="88"/>
      <c r="CN78" s="88"/>
      <c r="CO78" s="99" t="s">
        <v>71</v>
      </c>
    </row>
    <row r="79" spans="1:93" ht="14.25" customHeight="1" x14ac:dyDescent="0.2">
      <c r="A79" s="49">
        <f t="shared" si="77"/>
        <v>1</v>
      </c>
      <c r="C79" s="49">
        <v>63</v>
      </c>
      <c r="E79" s="49" t="s">
        <v>11</v>
      </c>
      <c r="F79" s="49" t="s">
        <v>122</v>
      </c>
      <c r="G79" s="11" t="str">
        <f t="shared" si="78"/>
        <v>New Zealand</v>
      </c>
      <c r="H79" s="11">
        <f t="shared" si="79"/>
        <v>6.911868176638853</v>
      </c>
      <c r="I79" s="11"/>
      <c r="J79" s="11" t="s">
        <v>35</v>
      </c>
      <c r="K79" s="11">
        <f t="shared" si="80"/>
        <v>5.1957770745881167</v>
      </c>
      <c r="L79" s="11"/>
      <c r="M79" s="11" t="str">
        <f t="shared" si="81"/>
        <v>Belgium</v>
      </c>
      <c r="N79" s="11">
        <f t="shared" si="82"/>
        <v>1.5127710940147281</v>
      </c>
      <c r="O79" s="57"/>
      <c r="P79" s="68">
        <v>46200</v>
      </c>
      <c r="Q79" s="69">
        <v>0.20833333333333334</v>
      </c>
      <c r="R79" s="182" t="str">
        <f>U76</f>
        <v>New Zealand</v>
      </c>
      <c r="S79" s="18"/>
      <c r="T79" s="18"/>
      <c r="U79" s="183" t="str">
        <f>R75</f>
        <v>Belgium</v>
      </c>
      <c r="V79" s="57"/>
      <c r="W79" s="102"/>
      <c r="X79" s="103" t="str">
        <f>IF(OR(W77&lt;3,W76&lt;2),"TIRAGE AU SORT !!!"," ")</f>
        <v>TIRAGE AU SORT !!!</v>
      </c>
      <c r="Y79" s="102"/>
      <c r="Z79" s="102"/>
      <c r="AA79" s="102"/>
      <c r="AB79" s="102"/>
      <c r="AC79" s="57"/>
      <c r="AD79" s="57"/>
      <c r="AE79" s="49" t="str">
        <f t="shared" si="72"/>
        <v>New Zealand</v>
      </c>
      <c r="AF79" s="49" t="str">
        <f t="shared" si="73"/>
        <v>Belgium</v>
      </c>
      <c r="AG79" s="75">
        <f>_xlfn.XLOOKUP(AE79,'FIFA rankings'!$B:$B,'FIFA rankings'!$D:$D)</f>
        <v>1281.57</v>
      </c>
      <c r="AH79" s="75">
        <f>_xlfn.XLOOKUP(AF79,'FIFA rankings'!$B:$B,'FIFA rankings'!$D:$D)</f>
        <v>1734.71</v>
      </c>
      <c r="AI79" s="76">
        <f t="shared" si="74"/>
        <v>-453.1400000000001</v>
      </c>
      <c r="AJ79" s="75"/>
      <c r="AK79" s="77">
        <f t="shared" si="75"/>
        <v>0.90359281557674898</v>
      </c>
      <c r="AL79" s="77">
        <f t="shared" si="76"/>
        <v>2.1691186187098692</v>
      </c>
      <c r="AM79" s="75"/>
      <c r="AN79" s="78" cm="1">
        <f t="array" ref="AN79">1/SUMPRODUCT(_xlfn.POISSON.DIST(ROW($1:$8)-1,$AK79,FALSE)*_xlfn.POISSON.DIST(TRANSPOSE(ROW($1:$8)-1),$AL79,FALSE)*((ROW($1:$8)-1)&gt;(TRANSPOSE(ROW($1:$8)-1))))</f>
        <v>6.911868176638853</v>
      </c>
      <c r="AO79" s="78" cm="1">
        <f t="array" ref="AO79">1/SUMPRODUCT(_xlfn.POISSON.DIST(ROW($1:$8)-1,$AK79,FALSE)*_xlfn.POISSON.DIST(TRANSPOSE(ROW($1:$8)-1),$AL79,FALSE)*((ROW($1:$8)-1)=(TRANSPOSE(ROW($1:$8)-1))))</f>
        <v>5.1957770745881167</v>
      </c>
      <c r="AP79" s="78" cm="1">
        <f t="array" ref="AP79">1/SUMPRODUCT(_xlfn.POISSON.DIST(ROW($1:$8)-1,$AK79,FALSE)*_xlfn.POISSON.DIST(TRANSPOSE(ROW($1:$8)-1),$AL79,FALSE)*((ROW($1:$8)-1)&lt;(TRANSPOSE(ROW($1:$8)-1))))</f>
        <v>1.5127710940147281</v>
      </c>
      <c r="AQ79" s="75"/>
      <c r="AR79" s="78"/>
      <c r="AS79" s="79">
        <f t="shared" si="83"/>
        <v>1.8187792147544846E-3</v>
      </c>
      <c r="BA79" s="80"/>
      <c r="BB79" s="80"/>
      <c r="BC79" s="81"/>
      <c r="BD79" s="188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86"/>
      <c r="BW79" s="86"/>
      <c r="BX79" s="86"/>
      <c r="BY79" s="51"/>
      <c r="CL79" s="51"/>
      <c r="CM79" s="51"/>
      <c r="CN79" s="51"/>
      <c r="CO79" s="51"/>
    </row>
    <row r="80" spans="1:93" ht="14.25" customHeight="1" x14ac:dyDescent="0.2">
      <c r="A80" s="49">
        <f t="shared" si="77"/>
        <v>1</v>
      </c>
      <c r="C80" s="49">
        <v>64</v>
      </c>
      <c r="E80" s="49" t="s">
        <v>11</v>
      </c>
      <c r="F80" s="49" t="s">
        <v>122</v>
      </c>
      <c r="G80" s="11" t="str">
        <f t="shared" si="78"/>
        <v>Egypt</v>
      </c>
      <c r="H80" s="11">
        <f t="shared" si="79"/>
        <v>2.9234780038595423</v>
      </c>
      <c r="I80" s="11"/>
      <c r="J80" s="11" t="s">
        <v>35</v>
      </c>
      <c r="K80" s="11">
        <f t="shared" si="80"/>
        <v>3.9696506260820161</v>
      </c>
      <c r="L80" s="11"/>
      <c r="M80" s="11" t="str">
        <f t="shared" si="81"/>
        <v>IR Iran</v>
      </c>
      <c r="N80" s="11">
        <f t="shared" si="82"/>
        <v>2.4642372045546783</v>
      </c>
      <c r="O80" s="57"/>
      <c r="P80" s="89">
        <v>46200</v>
      </c>
      <c r="Q80" s="90">
        <v>0.20833333333333334</v>
      </c>
      <c r="R80" s="185" t="str">
        <f>U75</f>
        <v>Egypt</v>
      </c>
      <c r="S80" s="18"/>
      <c r="T80" s="18"/>
      <c r="U80" s="187" t="str">
        <f>R76</f>
        <v>IR Iran</v>
      </c>
      <c r="V80" s="57"/>
      <c r="W80" s="95"/>
      <c r="X80" s="57"/>
      <c r="Y80" s="95"/>
      <c r="Z80" s="95"/>
      <c r="AA80" s="95"/>
      <c r="AB80" s="95"/>
      <c r="AC80" s="57"/>
      <c r="AD80" s="57"/>
      <c r="AE80" s="49" t="str">
        <f t="shared" si="72"/>
        <v>Egypt</v>
      </c>
      <c r="AF80" s="49" t="str">
        <f t="shared" si="73"/>
        <v>IR Iran</v>
      </c>
      <c r="AG80" s="75">
        <f>_xlfn.XLOOKUP(AE80,'FIFA rankings'!$B:$B,'FIFA rankings'!$D:$D)</f>
        <v>1563.24</v>
      </c>
      <c r="AH80" s="75">
        <f>_xlfn.XLOOKUP(AF80,'FIFA rankings'!$B:$B,'FIFA rankings'!$D:$D)</f>
        <v>1615.3</v>
      </c>
      <c r="AI80" s="76">
        <f t="shared" si="74"/>
        <v>-52.059999999999945</v>
      </c>
      <c r="AJ80" s="75"/>
      <c r="AK80" s="77">
        <f t="shared" si="75"/>
        <v>1.3313174472824323</v>
      </c>
      <c r="AL80" s="77">
        <f t="shared" si="76"/>
        <v>1.4722258797110135</v>
      </c>
      <c r="AM80" s="75"/>
      <c r="AN80" s="78" cm="1">
        <f t="array" ref="AN80">1/SUMPRODUCT(_xlfn.POISSON.DIST(ROW($1:$8)-1,$AK80,FALSE)*_xlfn.POISSON.DIST(TRANSPOSE(ROW($1:$8)-1),$AL80,FALSE)*((ROW($1:$8)-1)&gt;(TRANSPOSE(ROW($1:$8)-1))))</f>
        <v>2.9234780038595423</v>
      </c>
      <c r="AO80" s="78" cm="1">
        <f t="array" ref="AO80">1/SUMPRODUCT(_xlfn.POISSON.DIST(ROW($1:$8)-1,$AK80,FALSE)*_xlfn.POISSON.DIST(TRANSPOSE(ROW($1:$8)-1),$AL80,FALSE)*((ROW($1:$8)-1)=(TRANSPOSE(ROW($1:$8)-1))))</f>
        <v>3.9696506260820161</v>
      </c>
      <c r="AP80" s="78" cm="1">
        <f t="array" ref="AP80">1/SUMPRODUCT(_xlfn.POISSON.DIST(ROW($1:$8)-1,$AK80,FALSE)*_xlfn.POISSON.DIST(TRANSPOSE(ROW($1:$8)-1),$AL80,FALSE)*((ROW($1:$8)-1)&lt;(TRANSPOSE(ROW($1:$8)-1))))</f>
        <v>2.4642372045546783</v>
      </c>
      <c r="AQ80" s="75"/>
      <c r="AR80" s="78"/>
      <c r="AS80" s="79">
        <f t="shared" si="83"/>
        <v>2.2524368404475137E-4</v>
      </c>
      <c r="BA80" s="189"/>
      <c r="BB80" s="189"/>
      <c r="BC80" s="189"/>
      <c r="BD80" s="189"/>
      <c r="BE80" s="189"/>
      <c r="BF80" s="189"/>
      <c r="BG80" s="189"/>
      <c r="BH80" s="189"/>
      <c r="BI80" s="189"/>
      <c r="BJ80" s="189"/>
      <c r="BK80" s="189"/>
      <c r="BL80" s="189"/>
      <c r="BM80" s="189"/>
      <c r="BN80" s="189"/>
      <c r="BO80" s="189"/>
      <c r="BP80" s="189"/>
      <c r="BQ80" s="189"/>
      <c r="BR80" s="189"/>
      <c r="BS80" s="189"/>
      <c r="BT80" s="189"/>
      <c r="BU80" s="189"/>
      <c r="BV80" s="189"/>
      <c r="BW80" s="189"/>
      <c r="BX80" s="189"/>
      <c r="BY80" s="189"/>
      <c r="BZ80" s="189"/>
      <c r="CA80" s="189"/>
      <c r="CB80" s="189"/>
      <c r="CC80" s="189"/>
      <c r="CD80" s="189"/>
      <c r="CE80" s="189"/>
      <c r="CF80" s="189"/>
      <c r="CG80" s="189"/>
      <c r="CH80" s="189"/>
      <c r="CI80" s="189"/>
      <c r="CJ80" s="189"/>
      <c r="CK80" s="189"/>
      <c r="CL80" s="189"/>
      <c r="CM80" s="189"/>
      <c r="CN80" s="189"/>
      <c r="CO80" s="189"/>
    </row>
    <row r="81" spans="1:93" ht="14.25" customHeight="1" x14ac:dyDescent="0.2">
      <c r="F81" s="49"/>
      <c r="G81" s="11"/>
      <c r="H81" s="11"/>
      <c r="I81" s="11"/>
      <c r="J81" s="11"/>
      <c r="K81" s="11"/>
      <c r="L81" s="11"/>
      <c r="M81" s="11"/>
      <c r="N81" s="11"/>
      <c r="O81" s="57"/>
      <c r="P81" s="105"/>
      <c r="Q81" s="106"/>
      <c r="R81" s="57"/>
      <c r="S81" s="57"/>
      <c r="T81" s="57"/>
      <c r="U81" s="57"/>
      <c r="V81" s="57"/>
      <c r="W81" s="95"/>
      <c r="X81" s="57"/>
      <c r="Y81" s="95"/>
      <c r="Z81" s="95"/>
      <c r="AA81" s="95"/>
      <c r="AB81" s="95"/>
      <c r="AC81" s="57"/>
      <c r="AD81" s="57"/>
    </row>
    <row r="82" spans="1:93" ht="14.25" customHeight="1" x14ac:dyDescent="0.2">
      <c r="F82" s="49" t="s">
        <v>131</v>
      </c>
      <c r="G82" s="190" t="str">
        <f>$F82 &amp; " / Odds"</f>
        <v>Group H / Odds</v>
      </c>
      <c r="H82" s="190"/>
      <c r="I82" s="190"/>
      <c r="J82" s="190"/>
      <c r="K82" s="190"/>
      <c r="L82" s="190"/>
      <c r="M82" s="190"/>
      <c r="N82" s="190"/>
      <c r="O82" s="57"/>
      <c r="P82" s="190" t="str">
        <f>$F82 &amp; " / Results"</f>
        <v>Group H / Results</v>
      </c>
      <c r="Q82" s="191"/>
      <c r="R82" s="192"/>
      <c r="S82" s="192"/>
      <c r="T82" s="192"/>
      <c r="U82" s="192"/>
      <c r="V82" s="57"/>
      <c r="W82" s="193"/>
      <c r="X82" s="194" t="str">
        <f>X74</f>
        <v>Ranking</v>
      </c>
      <c r="Y82" s="195" t="s">
        <v>24</v>
      </c>
      <c r="Z82" s="195" t="s">
        <v>25</v>
      </c>
      <c r="AA82" s="195" t="s">
        <v>26</v>
      </c>
      <c r="AB82" s="195" t="str">
        <f>"+/-"</f>
        <v>+/-</v>
      </c>
      <c r="AC82" s="57"/>
      <c r="AD82" s="57"/>
      <c r="BD82" s="63" t="s">
        <v>37</v>
      </c>
      <c r="BE82" s="64" t="s">
        <v>38</v>
      </c>
      <c r="BF82" s="65" t="s">
        <v>24</v>
      </c>
      <c r="BG82" s="66" t="s">
        <v>25</v>
      </c>
      <c r="BH82" s="65" t="s">
        <v>26</v>
      </c>
      <c r="BI82" s="67" t="s">
        <v>39</v>
      </c>
      <c r="BJ82" s="65" t="s">
        <v>40</v>
      </c>
      <c r="BK82" s="65" t="s">
        <v>41</v>
      </c>
      <c r="BL82" s="65" t="s">
        <v>42</v>
      </c>
      <c r="BM82" s="65" t="s">
        <v>43</v>
      </c>
      <c r="BN82" s="66" t="s">
        <v>44</v>
      </c>
      <c r="BO82" s="65" t="s">
        <v>45</v>
      </c>
      <c r="BP82" s="65" t="s">
        <v>46</v>
      </c>
      <c r="BQ82" s="67" t="s">
        <v>47</v>
      </c>
      <c r="BR82" s="66" t="s">
        <v>48</v>
      </c>
      <c r="BS82" s="65" t="s">
        <v>49</v>
      </c>
      <c r="BT82" s="65" t="s">
        <v>50</v>
      </c>
      <c r="BU82" s="67" t="s">
        <v>51</v>
      </c>
      <c r="BV82" s="66" t="s">
        <v>52</v>
      </c>
      <c r="BW82" s="65" t="s">
        <v>53</v>
      </c>
      <c r="BX82" s="65" t="s">
        <v>54</v>
      </c>
      <c r="BY82" s="67" t="s">
        <v>55</v>
      </c>
      <c r="BZ82" s="66" t="s">
        <v>56</v>
      </c>
      <c r="CA82" s="65" t="s">
        <v>48</v>
      </c>
      <c r="CB82" s="65" t="s">
        <v>49</v>
      </c>
      <c r="CC82" s="65" t="s">
        <v>50</v>
      </c>
      <c r="CD82" s="65" t="s">
        <v>51</v>
      </c>
      <c r="CE82" s="65" t="s">
        <v>57</v>
      </c>
      <c r="CF82" s="65" t="s">
        <v>58</v>
      </c>
      <c r="CG82" s="65" t="s">
        <v>59</v>
      </c>
      <c r="CH82" s="65" t="s">
        <v>60</v>
      </c>
      <c r="CI82" s="65" t="s">
        <v>61</v>
      </c>
      <c r="CJ82" s="65" t="s">
        <v>62</v>
      </c>
      <c r="CK82" s="65" t="s">
        <v>63</v>
      </c>
      <c r="CL82" s="66" t="s">
        <v>64</v>
      </c>
      <c r="CM82" s="65" t="s">
        <v>65</v>
      </c>
      <c r="CN82" s="65" t="s">
        <v>66</v>
      </c>
      <c r="CO82" s="67" t="s">
        <v>67</v>
      </c>
    </row>
    <row r="83" spans="1:93" ht="14.25" customHeight="1" x14ac:dyDescent="0.2">
      <c r="A83" s="49">
        <f>IF(OR(ISBLANK(S83),ISBLANK(T83)),1,0)</f>
        <v>1</v>
      </c>
      <c r="C83" s="49">
        <v>13</v>
      </c>
      <c r="D83" s="49" t="s">
        <v>132</v>
      </c>
      <c r="E83" s="49" t="s">
        <v>11</v>
      </c>
      <c r="F83" s="49" t="s">
        <v>131</v>
      </c>
      <c r="G83" s="11" t="str">
        <f>R83</f>
        <v>Spain</v>
      </c>
      <c r="H83" s="11">
        <f>AN83</f>
        <v>1.439786087155116</v>
      </c>
      <c r="I83" s="11"/>
      <c r="J83" s="11" t="s">
        <v>35</v>
      </c>
      <c r="K83" s="11">
        <f>AO83</f>
        <v>5.598083428187965</v>
      </c>
      <c r="L83" s="11"/>
      <c r="M83" s="11" t="str">
        <f>U83</f>
        <v>Cabo Verde</v>
      </c>
      <c r="N83" s="11">
        <f>AP83</f>
        <v>8.0463535396522623</v>
      </c>
      <c r="O83" s="57"/>
      <c r="P83" s="68">
        <v>46188</v>
      </c>
      <c r="Q83" s="69">
        <v>0.75</v>
      </c>
      <c r="R83" s="196" t="s">
        <v>133</v>
      </c>
      <c r="S83" s="19"/>
      <c r="T83" s="19"/>
      <c r="U83" s="197" t="s">
        <v>134</v>
      </c>
      <c r="V83" s="57"/>
      <c r="W83" s="198">
        <f>BA83</f>
        <v>1</v>
      </c>
      <c r="X83" s="199" t="str">
        <f>INDEX(BE83:BE86,MATCH(BC83,$BD83:$BD86,0))</f>
        <v>Spain</v>
      </c>
      <c r="Y83" s="200">
        <f>INDEX(BF83:BF86,MATCH(BC83,$BD83:$BD86,0))</f>
        <v>0</v>
      </c>
      <c r="Z83" s="200">
        <f>INDEX(BG83:BG86,MATCH(BC83,$BD83:$BD86,0))</f>
        <v>0</v>
      </c>
      <c r="AA83" s="200">
        <f>INDEX(BH83:BH86,MATCH(BC83,$BD83:$BD86,0))</f>
        <v>0</v>
      </c>
      <c r="AB83" s="200">
        <f>INDEX(BI83:BI86,MATCH(BC83,$BD83:$BD86,0))</f>
        <v>0</v>
      </c>
      <c r="AC83" s="57"/>
      <c r="AD83" s="57"/>
      <c r="AE83" s="49" t="str">
        <f t="shared" ref="AE83:AE88" si="84">R83</f>
        <v>Spain</v>
      </c>
      <c r="AF83" s="49" t="str">
        <f t="shared" ref="AF83:AF88" si="85">U83</f>
        <v>Cabo Verde</v>
      </c>
      <c r="AG83" s="75">
        <f>_xlfn.XLOOKUP(AE83,'FIFA rankings'!$B:$B,'FIFA rankings'!$D:$D)</f>
        <v>1876.4</v>
      </c>
      <c r="AH83" s="75">
        <f>_xlfn.XLOOKUP(AF83,'FIFA rankings'!$B:$B,'FIFA rankings'!$D:$D)</f>
        <v>1366.13</v>
      </c>
      <c r="AI83" s="76">
        <f t="shared" ref="AI83:AI88" si="86">IFERROR(AG83-AH83,"n.a.")</f>
        <v>510.27</v>
      </c>
      <c r="AJ83" s="75"/>
      <c r="AK83" s="77">
        <f t="shared" ref="AK83:AK88" si="87">IFERROR($AI$7*POWER(10,$AI83/$AI$6),"n.a.")</f>
        <v>2.2922252095423024</v>
      </c>
      <c r="AL83" s="77">
        <f t="shared" ref="AL83:AL88" si="88">IFERROR($AI$7*POWER(10,-$AI83/$AI$6),"n.a.")</f>
        <v>0.85506432432586366</v>
      </c>
      <c r="AM83" s="75"/>
      <c r="AN83" s="78" cm="1">
        <f t="array" ref="AN83">1/SUMPRODUCT(_xlfn.POISSON.DIST(ROW($1:$8)-1,$AK83,FALSE)*_xlfn.POISSON.DIST(TRANSPOSE(ROW($1:$8)-1),$AL83,FALSE)*((ROW($1:$8)-1)&gt;(TRANSPOSE(ROW($1:$8)-1))))</f>
        <v>1.439786087155116</v>
      </c>
      <c r="AO83" s="78" cm="1">
        <f t="array" ref="AO83">1/SUMPRODUCT(_xlfn.POISSON.DIST(ROW($1:$8)-1,$AK83,FALSE)*_xlfn.POISSON.DIST(TRANSPOSE(ROW($1:$8)-1),$AL83,FALSE)*((ROW($1:$8)-1)=(TRANSPOSE(ROW($1:$8)-1))))</f>
        <v>5.598083428187965</v>
      </c>
      <c r="AP83" s="78" cm="1">
        <f t="array" ref="AP83">1/SUMPRODUCT(_xlfn.POISSON.DIST(ROW($1:$8)-1,$AK83,FALSE)*_xlfn.POISSON.DIST(TRANSPOSE(ROW($1:$8)-1),$AL83,FALSE)*((ROW($1:$8)-1)&lt;(TRANSPOSE(ROW($1:$8)-1))))</f>
        <v>8.0463535396522623</v>
      </c>
      <c r="AQ83" s="75"/>
      <c r="AR83" s="78"/>
      <c r="AS83" s="79">
        <f>1-SUM(1/AN83,1/AO83,1/AP83)</f>
        <v>2.5399170811043481E-3</v>
      </c>
      <c r="BA83" s="80">
        <v>1</v>
      </c>
      <c r="BB83" s="80">
        <f>ROUND(BC83,0)</f>
        <v>2</v>
      </c>
      <c r="BC83" s="81">
        <f>MIN(BD83:BD86)</f>
        <v>2.4500000000000002</v>
      </c>
      <c r="BD83" s="82">
        <f>SUM(BV83:BY83)+2.45</f>
        <v>2.4500000000000002</v>
      </c>
      <c r="BE83" s="83" t="str">
        <f>R83</f>
        <v>Spain</v>
      </c>
      <c r="BF83" s="51">
        <f>SUM(BJ83:BM83)</f>
        <v>0</v>
      </c>
      <c r="BG83" s="84">
        <f>S83+S85+T87</f>
        <v>0</v>
      </c>
      <c r="BH83" s="51">
        <f>T83+T85+S87</f>
        <v>0</v>
      </c>
      <c r="BI83" s="85">
        <f>BG83-BH83</f>
        <v>0</v>
      </c>
      <c r="BJ83" s="51" t="s">
        <v>71</v>
      </c>
      <c r="BK83" s="51">
        <f>IF(ISBLANK(S83),0,IF(S83&gt;T83,3,IF(S83=T83,1,0)))</f>
        <v>0</v>
      </c>
      <c r="BL83" s="51">
        <f>IF(ISBLANK(S85),0,IF(S85&gt;T85,3,IF(S85=T85,1,0)))</f>
        <v>0</v>
      </c>
      <c r="BM83" s="51">
        <f>IF(ISBLANK(T87),0,IF(T87&gt;S87,3,IF(T87=S87,1,0)))</f>
        <v>0</v>
      </c>
      <c r="BN83" s="84" t="s">
        <v>71</v>
      </c>
      <c r="BO83" s="51" t="b">
        <f>(10*(BI83-BI84)+BG83-BG84&gt;0)</f>
        <v>0</v>
      </c>
      <c r="BP83" s="51" t="b">
        <f>10*(BI83-BI85)+BG83-BG85&gt;0</f>
        <v>0</v>
      </c>
      <c r="BQ83" s="85" t="b">
        <f>10*(BI83-BI86)+BG83-BG86&gt;0</f>
        <v>0</v>
      </c>
      <c r="BR83" s="84">
        <f>10000*(BK83+BL83)+(S85-T85+S83-T83)*100+(S85+S83)</f>
        <v>0</v>
      </c>
      <c r="BS83" s="51">
        <f>10000*(BK83+BM83)+(S83-T83+T87-S87)*100+(S83+T87)</f>
        <v>0</v>
      </c>
      <c r="BT83" s="51">
        <f>10000*(BL83+BM83)+(T87-S87+S85-T85)*100+(T87+S85)</f>
        <v>0</v>
      </c>
      <c r="BU83" s="85" t="s">
        <v>71</v>
      </c>
      <c r="BV83" s="84" t="s">
        <v>71</v>
      </c>
      <c r="BW83" s="86">
        <f>IF($BF83&gt;$BF84,-0.5,IF($BF84&gt;$BF83,0.5,IF(BO83,-0.5,IF(BN84,0.5,CM83))))</f>
        <v>0</v>
      </c>
      <c r="BX83" s="86">
        <f>IF($BF83&gt;$BF85,-0.5,IF($BF85&gt;$BF83,0.5,IF(BP83,-0.5,IF(BN85,0.5,CN83))))</f>
        <v>0</v>
      </c>
      <c r="BY83" s="87">
        <f>IF($BF83&gt;$BF86,-0.5,IF($BF86&gt;$BF83,0.5,IF(BQ83,-0.5,IF(BN86,0.5,CO83))))</f>
        <v>0</v>
      </c>
      <c r="BZ83" s="88" t="b">
        <f>AND(AND(BF83=BF84,BF84=BF85,BF85=BF86),AND(BG83=BG84,BG84=BG85,BG85=BG86),AND(BH83=BH84,BH84=BH85,BH85=BH86))</f>
        <v>1</v>
      </c>
      <c r="CA83" s="88" t="b">
        <f>AND(NOT(BZ83),BF83=BF84,BF83=BF85,BG83=BG84,BG83=BG85,BH83=BH84,BH83=BH85)</f>
        <v>0</v>
      </c>
      <c r="CB83" s="88" t="b">
        <f>AND(NOT(BZ83),BF83=BF84,BF83=BF86,BG83=BG84,BG83=BG86,BH83=BH84,BH83=BH86)</f>
        <v>0</v>
      </c>
      <c r="CC83" s="88" t="b">
        <f>AND(NOT(BZ83),BF83=BF85,BF83=BF86,BG83=BG85,BG83=BG86,BH83=BH85,BH83=BH86)</f>
        <v>0</v>
      </c>
      <c r="CD83" s="88" t="b">
        <f>AND(NOT(BZ83),BF84=BF85,BF84=BF86,BG84=BG85,BG84=BG86,BH84=BH85,BH84=BH86)</f>
        <v>0</v>
      </c>
      <c r="CE83" s="88" t="b">
        <f>AND(NOT(BZ83),NOT(CA83),NOT(CB83),BF83=BF84,BG83=BG84,BH83=BH84)</f>
        <v>0</v>
      </c>
      <c r="CF83" s="88" t="b">
        <f>AND(NOT(BZ83),NOT(CA83),NOT(CC83),BF83=BF85,BG83=BG85,BH83=BH85)</f>
        <v>0</v>
      </c>
      <c r="CG83" s="88" t="b">
        <f>AND(NOT(BZ83),NOT(CB83),NOT(CC83),BF83=BF86,BG83=BG86,BH83=BH86)</f>
        <v>0</v>
      </c>
      <c r="CH83" s="88" t="b">
        <f>AND(NOT(BZ83),NOT(CA83),NOT(CD83),BF84=BF85,BG84=BG85)</f>
        <v>0</v>
      </c>
      <c r="CI83" s="88" t="b">
        <f>AND(NOT(BZ83),NOT(CB83),NOT(CD83),BF84=BF86,BG84=BG86,BH84=BH86)</f>
        <v>0</v>
      </c>
      <c r="CJ83" s="88" t="b">
        <f>AND(NOT(BZ83),NOT(CC83),NOT(CD83),BF85=BF86,BG85=BG86,BH85=BH86)</f>
        <v>0</v>
      </c>
      <c r="CK83" s="88" t="b">
        <f t="array" ref="CK83">AND(NOT(BZ83:CJ83))</f>
        <v>0</v>
      </c>
      <c r="CL83" s="84" t="s">
        <v>71</v>
      </c>
      <c r="CM83" s="51">
        <f>IF($CE83,IF(T83-S83&lt;0,-0.5,IF(S83-T83&lt;0,0.5,0)),IF($CA83,IF($BR83&gt;$BR84,-0.5,IF($BR83&lt;$BR84,0.5,0)),IF($CB83,IF($BS83&gt;$BS84,-0.5, IF($BS83&lt;$BS84,0.5,0)),0)))</f>
        <v>0</v>
      </c>
      <c r="CN83" s="51">
        <f>IF($CF83,IF(T85-S85&lt;0,-0.5,IF(S85-T85&lt;0,0.5,0)),IF($CA83,IF($BR83&gt;$BR85,-0.5,IF($BR83&lt;$BR85,0.5,0)),IF($CC83,IF($BT83&gt;$BT85,-0.5,IF($BT83&lt;$BT85,0.5,0)),0)))</f>
        <v>0</v>
      </c>
      <c r="CO83" s="85">
        <f>IF($CG83,IF(S87-T87&lt;0,-0.5,IF(T87-S87&lt;0,0.5,0)),IF($CB83,IF($BS83&gt;$BS86,-0.5,IF($BS83&lt;$BS86,0.5,0)),IF($CC83,IF($BT83&gt;$BT86,-0.5, IF($BT83&lt;$BT86,0.5,0)),0)))</f>
        <v>0</v>
      </c>
    </row>
    <row r="84" spans="1:93" ht="14.25" customHeight="1" x14ac:dyDescent="0.2">
      <c r="A84" s="49">
        <f t="shared" ref="A84:A88" si="89">IF(OR(ISBLANK(S84),ISBLANK(T84)),1,0)</f>
        <v>1</v>
      </c>
      <c r="C84" s="49">
        <v>14</v>
      </c>
      <c r="D84" s="49" t="s">
        <v>135</v>
      </c>
      <c r="E84" s="49" t="s">
        <v>11</v>
      </c>
      <c r="F84" s="49" t="s">
        <v>131</v>
      </c>
      <c r="G84" s="11" t="str">
        <f t="shared" ref="G84:G88" si="90">R84</f>
        <v>Saudi Arabia</v>
      </c>
      <c r="H84" s="11">
        <f t="shared" ref="H84:H88" si="91">AN84</f>
        <v>4.2985810387894121</v>
      </c>
      <c r="I84" s="11"/>
      <c r="J84" s="11" t="s">
        <v>35</v>
      </c>
      <c r="K84" s="11">
        <f t="shared" ref="K84:K88" si="92">AO84</f>
        <v>4.2987011427131554</v>
      </c>
      <c r="L84" s="11"/>
      <c r="M84" s="11" t="str">
        <f t="shared" ref="M84:M88" si="93">U84</f>
        <v>Uruguay</v>
      </c>
      <c r="N84" s="11">
        <f t="shared" ref="N84:N88" si="94">AP84</f>
        <v>1.8720137743528018</v>
      </c>
      <c r="O84" s="57"/>
      <c r="P84" s="89">
        <v>46189</v>
      </c>
      <c r="Q84" s="90">
        <v>0</v>
      </c>
      <c r="R84" s="199" t="s">
        <v>136</v>
      </c>
      <c r="S84" s="19"/>
      <c r="T84" s="19"/>
      <c r="U84" s="201" t="s">
        <v>137</v>
      </c>
      <c r="V84" s="57"/>
      <c r="W84" s="198">
        <f>BA84</f>
        <v>1</v>
      </c>
      <c r="X84" s="199" t="str">
        <f>INDEX(BE83:BE86,MATCH(BC84,$BD83:$BD86,0))</f>
        <v>Cabo Verde</v>
      </c>
      <c r="Y84" s="200">
        <f>INDEX(BF83:BF86,MATCH(BC84,$BD83:$BD86,0))</f>
        <v>0</v>
      </c>
      <c r="Z84" s="200">
        <f>INDEX(BG83:BG86,MATCH(BC84,$BD83:$BD86,0))</f>
        <v>0</v>
      </c>
      <c r="AA84" s="200">
        <f>INDEX(BH83:BH86,MATCH(BC84,$BD83:$BD86,0))</f>
        <v>0</v>
      </c>
      <c r="AB84" s="200">
        <f>INDEX(BI83:BI86,MATCH(BC84,$BD83:$BD86,0))</f>
        <v>0</v>
      </c>
      <c r="AC84" s="57"/>
      <c r="AD84" s="57"/>
      <c r="AE84" s="49" t="str">
        <f t="shared" si="84"/>
        <v>Saudi Arabia</v>
      </c>
      <c r="AF84" s="49" t="str">
        <f t="shared" si="85"/>
        <v>Uruguay</v>
      </c>
      <c r="AG84" s="75">
        <f>_xlfn.XLOOKUP(AE84,'FIFA rankings'!$B:$B,'FIFA rankings'!$D:$D)</f>
        <v>1421.43</v>
      </c>
      <c r="AH84" s="75">
        <f>_xlfn.XLOOKUP(AF84,'FIFA rankings'!$B:$B,'FIFA rankings'!$D:$D)</f>
        <v>1673.07</v>
      </c>
      <c r="AI84" s="76">
        <f t="shared" si="86"/>
        <v>-251.63999999999987</v>
      </c>
      <c r="AJ84" s="75"/>
      <c r="AK84" s="77">
        <f t="shared" si="87"/>
        <v>1.0978172484290438</v>
      </c>
      <c r="AL84" s="77">
        <f t="shared" si="88"/>
        <v>1.7853609084797344</v>
      </c>
      <c r="AM84" s="75"/>
      <c r="AN84" s="78" cm="1">
        <f t="array" ref="AN84">1/SUMPRODUCT(_xlfn.POISSON.DIST(ROW($1:$8)-1,$AK84,FALSE)*_xlfn.POISSON.DIST(TRANSPOSE(ROW($1:$8)-1),$AL84,FALSE)*((ROW($1:$8)-1)&gt;(TRANSPOSE(ROW($1:$8)-1))))</f>
        <v>4.2985810387894121</v>
      </c>
      <c r="AO84" s="78" cm="1">
        <f t="array" ref="AO84">1/SUMPRODUCT(_xlfn.POISSON.DIST(ROW($1:$8)-1,$AK84,FALSE)*_xlfn.POISSON.DIST(TRANSPOSE(ROW($1:$8)-1),$AL84,FALSE)*((ROW($1:$8)-1)=(TRANSPOSE(ROW($1:$8)-1))))</f>
        <v>4.2987011427131554</v>
      </c>
      <c r="AP84" s="78" cm="1">
        <f t="array" ref="AP84">1/SUMPRODUCT(_xlfn.POISSON.DIST(ROW($1:$8)-1,$AK84,FALSE)*_xlfn.POISSON.DIST(TRANSPOSE(ROW($1:$8)-1),$AL84,FALSE)*((ROW($1:$8)-1)&lt;(TRANSPOSE(ROW($1:$8)-1))))</f>
        <v>1.8720137743528018</v>
      </c>
      <c r="AQ84" s="75"/>
      <c r="AR84" s="78"/>
      <c r="AS84" s="79">
        <f t="shared" ref="AS84:AS88" si="95">1-SUM(1/AN84,1/AO84,1/AP84)</f>
        <v>5.5258220043274964E-4</v>
      </c>
      <c r="BA84" s="80">
        <f>IF(ROUND(BC84,0)=ROUND(BC83,0),BA83,2)</f>
        <v>1</v>
      </c>
      <c r="BB84" s="80">
        <f>ROUND(BC84,0)</f>
        <v>2</v>
      </c>
      <c r="BC84" s="81">
        <f>MAX(MIN(BD83:BD85),MIN(BD83,BD84,BD86),MIN(BD83,BD85,BD86),MIN(BD84:BD86))</f>
        <v>2.46</v>
      </c>
      <c r="BD84" s="92">
        <f>SUM(BV84:BY84)+2.46</f>
        <v>2.46</v>
      </c>
      <c r="BE84" s="83" t="str">
        <f>U83</f>
        <v>Cabo Verde</v>
      </c>
      <c r="BF84" s="51">
        <f>SUM(BJ84:BM84)</f>
        <v>0</v>
      </c>
      <c r="BG84" s="84">
        <f>T83+T86+S88</f>
        <v>0</v>
      </c>
      <c r="BH84" s="51">
        <f>S83+S86+T88</f>
        <v>0</v>
      </c>
      <c r="BI84" s="85">
        <f>BG84-BH84</f>
        <v>0</v>
      </c>
      <c r="BJ84" s="51">
        <f>IF(ISBLANK(T83),0,IF(BK83=3,0,IF(BK83=1,1,3)))</f>
        <v>0</v>
      </c>
      <c r="BK84" s="51" t="s">
        <v>71</v>
      </c>
      <c r="BL84" s="51">
        <f>IF(ISBLANK(S88),0,IF(BK85=3,0,IF(BK85=1,1,3)))</f>
        <v>0</v>
      </c>
      <c r="BM84" s="51">
        <f>IF(ISBLANK(T86),0,IF(T86&gt;S86,3,IF(T86=S86,1,0)))</f>
        <v>0</v>
      </c>
      <c r="BN84" s="84" t="b">
        <f>(10*(BI83-BI84)+BG83-BG84&lt;0)</f>
        <v>0</v>
      </c>
      <c r="BO84" s="51" t="s">
        <v>71</v>
      </c>
      <c r="BP84" s="51" t="b">
        <f>10*(BI84-BI85)+BG84-BG85&gt;0</f>
        <v>0</v>
      </c>
      <c r="BQ84" s="85" t="b">
        <f>10*(BI84-BI86)+BG84-BG86&gt;0</f>
        <v>0</v>
      </c>
      <c r="BR84" s="84">
        <f>10000*(BJ84+BL84)+(T83-S83+S88-T88)*100+(T83+S88)</f>
        <v>0</v>
      </c>
      <c r="BS84" s="51">
        <f>10000*(BJ84+BM84)+(T83-S83+T86-S86)*100+(T83+T86)</f>
        <v>0</v>
      </c>
      <c r="BT84" s="51" t="s">
        <v>71</v>
      </c>
      <c r="BU84" s="85">
        <f>10000*(BL84+BM84)+(T86-S86+S88-T88)*100+(T86+S88)</f>
        <v>0</v>
      </c>
      <c r="BV84" s="93">
        <f>-BW83</f>
        <v>0</v>
      </c>
      <c r="BW84" s="51" t="s">
        <v>71</v>
      </c>
      <c r="BX84" s="86">
        <f>IF($BF84&gt;$BF85,-0.5,IF($BF85&gt;$BF84,0.5,IF(BP84,-0.5,IF(BO85,0.5,CN84))))</f>
        <v>0</v>
      </c>
      <c r="BY84" s="87">
        <f>IF($BF84&gt;$BF86,-0.5,IF($BF86&gt;$BF84,0.5,IF(BQ84,-0.5,IF(BO86,0.5,CO84))))</f>
        <v>0</v>
      </c>
      <c r="CL84" s="84"/>
      <c r="CM84" s="51" t="s">
        <v>71</v>
      </c>
      <c r="CN84" s="51">
        <f>IF($CH83,IF(T88-S88&lt;0,-0.5,IF(S88-T88&lt;0,0.5,0)),IF($CA83,IF($BR84&gt;$BR85,-0.5,IF($BR84&lt;$BR85,0.5,0)),IF($CD83,IF($BU84&gt;$BU85,-0.5,IF($BU84&lt;$BU85,0.5,0)),0)))</f>
        <v>0</v>
      </c>
      <c r="CO84" s="85">
        <f>IF($CI83,IF(S86-T86&lt;0,-0.5,IF(T86-S86&lt;0,0.5,0)),IF($CB83,IF($BS84&gt;$BS86,-0.5,IF($BS84&lt;$BS86,0.5,0)),IF($CD83,IF($BU84&gt;$BU86,-0.5,IF($BU84&lt;$BU86,0.5,0)),0)))</f>
        <v>0</v>
      </c>
    </row>
    <row r="85" spans="1:93" ht="14.25" customHeight="1" x14ac:dyDescent="0.2">
      <c r="A85" s="49">
        <f t="shared" si="89"/>
        <v>1</v>
      </c>
      <c r="C85" s="49">
        <v>37</v>
      </c>
      <c r="D85" s="49" t="s">
        <v>138</v>
      </c>
      <c r="E85" s="49" t="s">
        <v>11</v>
      </c>
      <c r="F85" s="49" t="s">
        <v>131</v>
      </c>
      <c r="G85" s="11" t="str">
        <f t="shared" si="90"/>
        <v>Spain</v>
      </c>
      <c r="H85" s="11">
        <f t="shared" si="91"/>
        <v>1.5102666737588588</v>
      </c>
      <c r="I85" s="11"/>
      <c r="J85" s="11" t="s">
        <v>35</v>
      </c>
      <c r="K85" s="11">
        <f t="shared" si="92"/>
        <v>5.2074420228794569</v>
      </c>
      <c r="L85" s="11"/>
      <c r="M85" s="11" t="str">
        <f t="shared" si="93"/>
        <v>Saudi Arabia</v>
      </c>
      <c r="N85" s="11">
        <f t="shared" si="94"/>
        <v>6.9447361860266472</v>
      </c>
      <c r="O85" s="57"/>
      <c r="P85" s="68">
        <v>46194</v>
      </c>
      <c r="Q85" s="69">
        <v>0.75</v>
      </c>
      <c r="R85" s="196" t="str">
        <f>R83</f>
        <v>Spain</v>
      </c>
      <c r="S85" s="19"/>
      <c r="T85" s="19"/>
      <c r="U85" s="197" t="str">
        <f>R84</f>
        <v>Saudi Arabia</v>
      </c>
      <c r="V85" s="57"/>
      <c r="W85" s="94">
        <f>BA85</f>
        <v>1</v>
      </c>
      <c r="X85" s="57" t="str">
        <f>INDEX(BE83:BE86,MATCH(BC85,$BD83:$BD86,0))</f>
        <v>Saudi Arabia</v>
      </c>
      <c r="Y85" s="95">
        <f>INDEX(BF83:BF86,MATCH(BC85,$BD83:$BD86,0))</f>
        <v>0</v>
      </c>
      <c r="Z85" s="95">
        <f>INDEX(BG83:BG86,MATCH(BC85,$BD83:$BD86,0))</f>
        <v>0</v>
      </c>
      <c r="AA85" s="95">
        <f>INDEX(BH83:BH86,MATCH(BC85,$BD83:$BD86,0))</f>
        <v>0</v>
      </c>
      <c r="AB85" s="95">
        <f>INDEX(BI83:BI86,MATCH(BC85,$BD83:$BD86,0))</f>
        <v>0</v>
      </c>
      <c r="AC85" s="57"/>
      <c r="AD85" s="57"/>
      <c r="AE85" s="49" t="str">
        <f t="shared" si="84"/>
        <v>Spain</v>
      </c>
      <c r="AF85" s="49" t="str">
        <f t="shared" si="85"/>
        <v>Saudi Arabia</v>
      </c>
      <c r="AG85" s="75">
        <f>_xlfn.XLOOKUP(AE85,'FIFA rankings'!$B:$B,'FIFA rankings'!$D:$D)</f>
        <v>1876.4</v>
      </c>
      <c r="AH85" s="75">
        <f>_xlfn.XLOOKUP(AF85,'FIFA rankings'!$B:$B,'FIFA rankings'!$D:$D)</f>
        <v>1421.43</v>
      </c>
      <c r="AI85" s="76">
        <f t="shared" si="86"/>
        <v>454.97</v>
      </c>
      <c r="AJ85" s="75"/>
      <c r="AK85" s="77">
        <f t="shared" si="87"/>
        <v>2.1729575475734806</v>
      </c>
      <c r="AL85" s="77">
        <f t="shared" si="88"/>
        <v>0.90199645280171803</v>
      </c>
      <c r="AM85" s="75"/>
      <c r="AN85" s="78" cm="1">
        <f t="array" ref="AN85">1/SUMPRODUCT(_xlfn.POISSON.DIST(ROW($1:$8)-1,$AK85,FALSE)*_xlfn.POISSON.DIST(TRANSPOSE(ROW($1:$8)-1),$AL85,FALSE)*((ROW($1:$8)-1)&gt;(TRANSPOSE(ROW($1:$8)-1))))</f>
        <v>1.5102666737588588</v>
      </c>
      <c r="AO85" s="78" cm="1">
        <f t="array" ref="AO85">1/SUMPRODUCT(_xlfn.POISSON.DIST(ROW($1:$8)-1,$AK85,FALSE)*_xlfn.POISSON.DIST(TRANSPOSE(ROW($1:$8)-1),$AL85,FALSE)*((ROW($1:$8)-1)=(TRANSPOSE(ROW($1:$8)-1))))</f>
        <v>5.2074420228794569</v>
      </c>
      <c r="AP85" s="78" cm="1">
        <f t="array" ref="AP85">1/SUMPRODUCT(_xlfn.POISSON.DIST(ROW($1:$8)-1,$AK85,FALSE)*_xlfn.POISSON.DIST(TRANSPOSE(ROW($1:$8)-1),$AL85,FALSE)*((ROW($1:$8)-1)&lt;(TRANSPOSE(ROW($1:$8)-1))))</f>
        <v>6.9447361860266472</v>
      </c>
      <c r="AQ85" s="75"/>
      <c r="AR85" s="78"/>
      <c r="AS85" s="79">
        <f t="shared" si="95"/>
        <v>1.8384671713973511E-3</v>
      </c>
      <c r="BA85" s="80">
        <f>IF(ROUND(BC85,0)=ROUND(BC84,0),BA84,3)</f>
        <v>1</v>
      </c>
      <c r="BB85" s="80">
        <f>ROUND(BC85,0)</f>
        <v>2</v>
      </c>
      <c r="BC85" s="81">
        <f>MIN(MAX(BD83:BD85),MAX(BD83,BD84,BD86),MAX(BD83,BD85,BD86),MAX(BD84:BD86))</f>
        <v>2.4700000000000002</v>
      </c>
      <c r="BD85" s="92">
        <f>SUM(BV85:BY85)+2.47</f>
        <v>2.4700000000000002</v>
      </c>
      <c r="BE85" s="83" t="str">
        <f>R84</f>
        <v>Saudi Arabia</v>
      </c>
      <c r="BF85" s="51">
        <f>SUM(BJ85:BM85)</f>
        <v>0</v>
      </c>
      <c r="BG85" s="84">
        <f>S84+T85+T88</f>
        <v>0</v>
      </c>
      <c r="BH85" s="51">
        <f>T84+S85+S88</f>
        <v>0</v>
      </c>
      <c r="BI85" s="85">
        <f>BG85-BH85</f>
        <v>0</v>
      </c>
      <c r="BJ85" s="51">
        <f>IF(ISBLANK(T85),0,IF(BL83=3,0,IF(BL83=1,1,3)))</f>
        <v>0</v>
      </c>
      <c r="BK85" s="51">
        <f>IF(ISBLANK(T88),0,IF(T88&gt;S88,3,IF(T88=S88,1,0)))</f>
        <v>0</v>
      </c>
      <c r="BL85" s="51" t="s">
        <v>71</v>
      </c>
      <c r="BM85" s="51">
        <f>IF(ISBLANK(S84),0,IF(S84&gt;T84,3,IF(S84=T84,1,0)))</f>
        <v>0</v>
      </c>
      <c r="BN85" s="84" t="b">
        <f>10*(BI83-BI85)+BG83-BG85&lt;0</f>
        <v>0</v>
      </c>
      <c r="BO85" s="51" t="b">
        <f>10*(BI84-BI85)+BG84-BG85&lt;0</f>
        <v>0</v>
      </c>
      <c r="BP85" s="51" t="s">
        <v>71</v>
      </c>
      <c r="BQ85" s="85" t="b">
        <f>10*(BI85-BI86)+BG85-BG86&gt;0</f>
        <v>0</v>
      </c>
      <c r="BR85" s="84">
        <f>10000*(BJ85+BK85)+(T85-S85+T88-S88)*100+(T85+T88)</f>
        <v>0</v>
      </c>
      <c r="BS85" s="51" t="s">
        <v>71</v>
      </c>
      <c r="BT85" s="51">
        <f>10000*(BJ85+BM85)+(S84-T84+T85-S85)*100+(S84+T85)</f>
        <v>0</v>
      </c>
      <c r="BU85" s="85">
        <f>10000*(BK85+BM85)+(S84-T84+T88-S88)*100+(S84+T88)</f>
        <v>0</v>
      </c>
      <c r="BV85" s="93">
        <f>-BX83</f>
        <v>0</v>
      </c>
      <c r="BW85" s="86">
        <f>-BX84</f>
        <v>0</v>
      </c>
      <c r="BX85" s="86" t="s">
        <v>71</v>
      </c>
      <c r="BY85" s="87">
        <f>IF($BF85&gt;$BF86,-0.5,IF($BF86&gt;$BF85,0.5,IF(BQ85,-0.5,IF(BP86,0.5,CO85))))</f>
        <v>0</v>
      </c>
      <c r="CL85" s="84"/>
      <c r="CM85" s="51"/>
      <c r="CN85" s="51" t="s">
        <v>71</v>
      </c>
      <c r="CO85" s="85">
        <f>IF($CJ83,IF(T84-S84&lt;0,-0.5,IF(S84-T84&lt;0,0.5,0)),IF($CC83,IF($BT85&gt;$BT86,-0.5,IF($BT85&lt;$BT86,0.5,0)),IF($CD83,IF($BU85&gt;$BU86,-0.5,IF($BU85&lt;$BU86,0.5,0)),0)))</f>
        <v>0</v>
      </c>
    </row>
    <row r="86" spans="1:93" ht="14.25" customHeight="1" x14ac:dyDescent="0.2">
      <c r="A86" s="49">
        <f t="shared" si="89"/>
        <v>1</v>
      </c>
      <c r="C86" s="49">
        <v>38</v>
      </c>
      <c r="D86" s="49" t="s">
        <v>139</v>
      </c>
      <c r="E86" s="49" t="s">
        <v>11</v>
      </c>
      <c r="F86" s="49" t="s">
        <v>131</v>
      </c>
      <c r="G86" s="11" t="str">
        <f t="shared" si="90"/>
        <v>Uruguay</v>
      </c>
      <c r="H86" s="11">
        <f t="shared" si="91"/>
        <v>1.7548066830732889</v>
      </c>
      <c r="I86" s="11"/>
      <c r="J86" s="11" t="s">
        <v>35</v>
      </c>
      <c r="K86" s="11">
        <f t="shared" si="92"/>
        <v>4.4780402631594827</v>
      </c>
      <c r="L86" s="11"/>
      <c r="M86" s="11" t="str">
        <f t="shared" si="93"/>
        <v>Cabo Verde</v>
      </c>
      <c r="N86" s="11">
        <f t="shared" si="94"/>
        <v>4.8529363233682377</v>
      </c>
      <c r="O86" s="57"/>
      <c r="P86" s="89">
        <v>46195</v>
      </c>
      <c r="Q86" s="90">
        <v>0</v>
      </c>
      <c r="R86" s="199" t="str">
        <f>U84</f>
        <v>Uruguay</v>
      </c>
      <c r="S86" s="19"/>
      <c r="T86" s="19"/>
      <c r="U86" s="201" t="str">
        <f>U83</f>
        <v>Cabo Verde</v>
      </c>
      <c r="V86" s="57"/>
      <c r="W86" s="94">
        <f>BA86</f>
        <v>1</v>
      </c>
      <c r="X86" s="57" t="str">
        <f>INDEX(BE83:BE86,MATCH(BC86,$BD83:$BD86,0))</f>
        <v>Uruguay</v>
      </c>
      <c r="Y86" s="95">
        <f>INDEX(BF83:BF86,MATCH(BC86,$BD83:$BD86,0))</f>
        <v>0</v>
      </c>
      <c r="Z86" s="95">
        <f>INDEX(BG83:BG86,MATCH(BC86,$BD83:$BD86,0))</f>
        <v>0</v>
      </c>
      <c r="AA86" s="95">
        <f>INDEX(BH83:BH86,MATCH(BC86,$BD83:$BD86,0))</f>
        <v>0</v>
      </c>
      <c r="AB86" s="95">
        <f>INDEX(BI83:BI86,MATCH(BC86,$BD83:$BD86,0))</f>
        <v>0</v>
      </c>
      <c r="AC86" s="57"/>
      <c r="AD86" s="57"/>
      <c r="AE86" s="49" t="str">
        <f t="shared" si="84"/>
        <v>Uruguay</v>
      </c>
      <c r="AF86" s="49" t="str">
        <f t="shared" si="85"/>
        <v>Cabo Verde</v>
      </c>
      <c r="AG86" s="75">
        <f>_xlfn.XLOOKUP(AE86,'FIFA rankings'!$B:$B,'FIFA rankings'!$D:$D)</f>
        <v>1673.07</v>
      </c>
      <c r="AH86" s="75">
        <f>_xlfn.XLOOKUP(AF86,'FIFA rankings'!$B:$B,'FIFA rankings'!$D:$D)</f>
        <v>1366.13</v>
      </c>
      <c r="AI86" s="76">
        <f t="shared" si="86"/>
        <v>306.93999999999983</v>
      </c>
      <c r="AJ86" s="75"/>
      <c r="AK86" s="77">
        <f t="shared" si="87"/>
        <v>1.8833544572090655</v>
      </c>
      <c r="AL86" s="77">
        <f t="shared" si="88"/>
        <v>1.0406962919261173</v>
      </c>
      <c r="AM86" s="75"/>
      <c r="AN86" s="78" cm="1">
        <f t="array" ref="AN86">1/SUMPRODUCT(_xlfn.POISSON.DIST(ROW($1:$8)-1,$AK86,FALSE)*_xlfn.POISSON.DIST(TRANSPOSE(ROW($1:$8)-1),$AL86,FALSE)*((ROW($1:$8)-1)&gt;(TRANSPOSE(ROW($1:$8)-1))))</f>
        <v>1.7548066830732889</v>
      </c>
      <c r="AO86" s="78" cm="1">
        <f t="array" ref="AO86">1/SUMPRODUCT(_xlfn.POISSON.DIST(ROW($1:$8)-1,$AK86,FALSE)*_xlfn.POISSON.DIST(TRANSPOSE(ROW($1:$8)-1),$AL86,FALSE)*((ROW($1:$8)-1)=(TRANSPOSE(ROW($1:$8)-1))))</f>
        <v>4.4780402631594827</v>
      </c>
      <c r="AP86" s="78" cm="1">
        <f t="array" ref="AP86">1/SUMPRODUCT(_xlfn.POISSON.DIST(ROW($1:$8)-1,$AK86,FALSE)*_xlfn.POISSON.DIST(TRANSPOSE(ROW($1:$8)-1),$AL86,FALSE)*((ROW($1:$8)-1)&lt;(TRANSPOSE(ROW($1:$8)-1))))</f>
        <v>4.8529363233682377</v>
      </c>
      <c r="AQ86" s="75"/>
      <c r="AR86" s="78"/>
      <c r="AS86" s="79">
        <f t="shared" si="95"/>
        <v>7.6387484595430433E-4</v>
      </c>
      <c r="BA86" s="80">
        <f>IF(ROUND(BC86,0)=ROUND(BC85,0),BA85,4)</f>
        <v>1</v>
      </c>
      <c r="BB86" s="80">
        <f>ROUND(BC86,0)</f>
        <v>2</v>
      </c>
      <c r="BC86" s="81">
        <f>MAX(BD83:BD86)</f>
        <v>2.48</v>
      </c>
      <c r="BD86" s="96">
        <f>SUM(BV86:BY86)+2.48</f>
        <v>2.48</v>
      </c>
      <c r="BE86" s="97" t="str">
        <f>U84</f>
        <v>Uruguay</v>
      </c>
      <c r="BF86" s="88">
        <f>SUM(BJ86:BM86)</f>
        <v>0</v>
      </c>
      <c r="BG86" s="98">
        <f>T84+S86+S87</f>
        <v>0</v>
      </c>
      <c r="BH86" s="88">
        <f>S84+T86+T87</f>
        <v>0</v>
      </c>
      <c r="BI86" s="99">
        <f>BG86-BH86</f>
        <v>0</v>
      </c>
      <c r="BJ86" s="88">
        <f>IF(ISBLANK(S87),0,IF(BM83=3,0,IF(BM83=1,1,3)))</f>
        <v>0</v>
      </c>
      <c r="BK86" s="88">
        <f>IF(ISBLANK(S86),0,IF(BM84=3,0,IF(BM84=1,1,3)))</f>
        <v>0</v>
      </c>
      <c r="BL86" s="88">
        <f>IF(ISBLANK(T84),0,IF(BM85=3,0,IF(BM85=1,1,3)))</f>
        <v>0</v>
      </c>
      <c r="BM86" s="88" t="s">
        <v>71</v>
      </c>
      <c r="BN86" s="98" t="b">
        <f>10*(BI83-BI86)+BG83-BG86&lt;0</f>
        <v>0</v>
      </c>
      <c r="BO86" s="88" t="b">
        <f>10*(BI84-BI86)+BG84-BG86&lt;0</f>
        <v>0</v>
      </c>
      <c r="BP86" s="88" t="b">
        <f>10*(BI85-BI86)+BG85-BG86&lt;0</f>
        <v>0</v>
      </c>
      <c r="BQ86" s="99" t="s">
        <v>71</v>
      </c>
      <c r="BR86" s="98" t="s">
        <v>71</v>
      </c>
      <c r="BS86" s="88">
        <f>10000*(BJ86+BK86)+(S86-T86+S87-T87)*100+(S86+S87)</f>
        <v>0</v>
      </c>
      <c r="BT86" s="88">
        <f>10000*(BJ86+BL86)+(S87-T87+T84-S84)*100+(S87+T84)</f>
        <v>0</v>
      </c>
      <c r="BU86" s="99">
        <f>10000*(BK86+BL86)+(S86-T86+T84-S84)*100+(S86+T84)</f>
        <v>0</v>
      </c>
      <c r="BV86" s="100">
        <f>-BY83</f>
        <v>0</v>
      </c>
      <c r="BW86" s="101">
        <f>-BY84</f>
        <v>0</v>
      </c>
      <c r="BX86" s="101">
        <f>-BY85</f>
        <v>0</v>
      </c>
      <c r="BY86" s="99" t="s">
        <v>71</v>
      </c>
      <c r="CL86" s="98"/>
      <c r="CM86" s="88"/>
      <c r="CN86" s="88"/>
      <c r="CO86" s="99" t="s">
        <v>71</v>
      </c>
    </row>
    <row r="87" spans="1:93" ht="14.25" customHeight="1" x14ac:dyDescent="0.2">
      <c r="A87" s="49">
        <f t="shared" si="89"/>
        <v>1</v>
      </c>
      <c r="C87" s="49">
        <v>65</v>
      </c>
      <c r="E87" s="49" t="s">
        <v>11</v>
      </c>
      <c r="F87" s="49" t="s">
        <v>131</v>
      </c>
      <c r="G87" s="11" t="str">
        <f t="shared" si="90"/>
        <v>Uruguay</v>
      </c>
      <c r="H87" s="11">
        <f t="shared" si="91"/>
        <v>3.886940027103666</v>
      </c>
      <c r="I87" s="11"/>
      <c r="J87" s="11" t="s">
        <v>35</v>
      </c>
      <c r="K87" s="11">
        <f t="shared" si="92"/>
        <v>4.1759783919273552</v>
      </c>
      <c r="L87" s="11"/>
      <c r="M87" s="11" t="str">
        <f t="shared" si="93"/>
        <v>Spain</v>
      </c>
      <c r="N87" s="11">
        <f t="shared" si="94"/>
        <v>1.9886953462914048</v>
      </c>
      <c r="O87" s="57"/>
      <c r="P87" s="68">
        <v>46200</v>
      </c>
      <c r="Q87" s="69">
        <v>8.3333333333333329E-2</v>
      </c>
      <c r="R87" s="196" t="str">
        <f>U84</f>
        <v>Uruguay</v>
      </c>
      <c r="S87" s="19"/>
      <c r="T87" s="19"/>
      <c r="U87" s="197" t="str">
        <f>R83</f>
        <v>Spain</v>
      </c>
      <c r="V87" s="57"/>
      <c r="W87" s="102"/>
      <c r="X87" s="103" t="str">
        <f>IF(OR(W85&lt;3,W84&lt;2),"TIRAGE AU SORT !!!"," ")</f>
        <v>TIRAGE AU SORT !!!</v>
      </c>
      <c r="Y87" s="102"/>
      <c r="Z87" s="102"/>
      <c r="AA87" s="102"/>
      <c r="AB87" s="102"/>
      <c r="AC87" s="57"/>
      <c r="AD87" s="57"/>
      <c r="AE87" s="49" t="str">
        <f t="shared" si="84"/>
        <v>Uruguay</v>
      </c>
      <c r="AF87" s="49" t="str">
        <f t="shared" si="85"/>
        <v>Spain</v>
      </c>
      <c r="AG87" s="75">
        <f>_xlfn.XLOOKUP(AE87,'FIFA rankings'!$B:$B,'FIFA rankings'!$D:$D)</f>
        <v>1673.07</v>
      </c>
      <c r="AH87" s="75">
        <f>_xlfn.XLOOKUP(AF87,'FIFA rankings'!$B:$B,'FIFA rankings'!$D:$D)</f>
        <v>1876.4</v>
      </c>
      <c r="AI87" s="76">
        <f t="shared" si="86"/>
        <v>-203.33000000000015</v>
      </c>
      <c r="AJ87" s="75"/>
      <c r="AK87" s="77">
        <f t="shared" si="87"/>
        <v>1.1502780045854093</v>
      </c>
      <c r="AL87" s="77">
        <f t="shared" si="88"/>
        <v>1.7039359113073154</v>
      </c>
      <c r="AM87" s="75"/>
      <c r="AN87" s="78" cm="1">
        <f t="array" ref="AN87">1/SUMPRODUCT(_xlfn.POISSON.DIST(ROW($1:$8)-1,$AK87,FALSE)*_xlfn.POISSON.DIST(TRANSPOSE(ROW($1:$8)-1),$AL87,FALSE)*((ROW($1:$8)-1)&gt;(TRANSPOSE(ROW($1:$8)-1))))</f>
        <v>3.886940027103666</v>
      </c>
      <c r="AO87" s="78" cm="1">
        <f t="array" ref="AO87">1/SUMPRODUCT(_xlfn.POISSON.DIST(ROW($1:$8)-1,$AK87,FALSE)*_xlfn.POISSON.DIST(TRANSPOSE(ROW($1:$8)-1),$AL87,FALSE)*((ROW($1:$8)-1)=(TRANSPOSE(ROW($1:$8)-1))))</f>
        <v>4.1759783919273552</v>
      </c>
      <c r="AP87" s="78" cm="1">
        <f t="array" ref="AP87">1/SUMPRODUCT(_xlfn.POISSON.DIST(ROW($1:$8)-1,$AK87,FALSE)*_xlfn.POISSON.DIST(TRANSPOSE(ROW($1:$8)-1),$AL87,FALSE)*((ROW($1:$8)-1)&lt;(TRANSPOSE(ROW($1:$8)-1))))</f>
        <v>1.9886953462914048</v>
      </c>
      <c r="AQ87" s="75"/>
      <c r="AR87" s="78"/>
      <c r="AS87" s="79">
        <f t="shared" si="95"/>
        <v>4.211454935753034E-4</v>
      </c>
    </row>
    <row r="88" spans="1:93" ht="14.25" customHeight="1" x14ac:dyDescent="0.2">
      <c r="A88" s="49">
        <f t="shared" si="89"/>
        <v>1</v>
      </c>
      <c r="C88" s="49">
        <v>66</v>
      </c>
      <c r="E88" s="49" t="s">
        <v>11</v>
      </c>
      <c r="F88" s="49" t="s">
        <v>131</v>
      </c>
      <c r="G88" s="11" t="str">
        <f t="shared" si="90"/>
        <v>Cabo Verde</v>
      </c>
      <c r="H88" s="11">
        <f t="shared" si="91"/>
        <v>2.9400060370970369</v>
      </c>
      <c r="I88" s="11"/>
      <c r="J88" s="11" t="s">
        <v>35</v>
      </c>
      <c r="K88" s="11">
        <f t="shared" si="92"/>
        <v>3.9714567385877593</v>
      </c>
      <c r="L88" s="11"/>
      <c r="M88" s="11" t="str">
        <f t="shared" si="93"/>
        <v>Saudi Arabia</v>
      </c>
      <c r="N88" s="11">
        <f t="shared" si="94"/>
        <v>2.4519356254145541</v>
      </c>
      <c r="O88" s="57"/>
      <c r="P88" s="89">
        <v>46200</v>
      </c>
      <c r="Q88" s="90">
        <v>8.3333333333333329E-2</v>
      </c>
      <c r="R88" s="199" t="str">
        <f>U83</f>
        <v>Cabo Verde</v>
      </c>
      <c r="S88" s="19"/>
      <c r="T88" s="19"/>
      <c r="U88" s="201" t="str">
        <f>R84</f>
        <v>Saudi Arabia</v>
      </c>
      <c r="V88" s="57"/>
      <c r="Y88" s="51"/>
      <c r="Z88" s="51"/>
      <c r="AA88" s="51"/>
      <c r="AB88" s="51"/>
      <c r="AC88" s="57"/>
      <c r="AD88" s="57"/>
      <c r="AE88" s="49" t="str">
        <f t="shared" si="84"/>
        <v>Cabo Verde</v>
      </c>
      <c r="AF88" s="49" t="str">
        <f t="shared" si="85"/>
        <v>Saudi Arabia</v>
      </c>
      <c r="AG88" s="75">
        <f>_xlfn.XLOOKUP(AE88,'FIFA rankings'!$B:$B,'FIFA rankings'!$D:$D)</f>
        <v>1366.13</v>
      </c>
      <c r="AH88" s="75">
        <f>_xlfn.XLOOKUP(AF88,'FIFA rankings'!$B:$B,'FIFA rankings'!$D:$D)</f>
        <v>1421.43</v>
      </c>
      <c r="AI88" s="76">
        <f t="shared" si="86"/>
        <v>-55.299999999999955</v>
      </c>
      <c r="AJ88" s="75"/>
      <c r="AK88" s="77">
        <f t="shared" si="87"/>
        <v>1.3271560551462172</v>
      </c>
      <c r="AL88" s="77">
        <f t="shared" si="88"/>
        <v>1.4768421485927368</v>
      </c>
      <c r="AM88" s="75"/>
      <c r="AN88" s="78" cm="1">
        <f t="array" ref="AN88">1/SUMPRODUCT(_xlfn.POISSON.DIST(ROW($1:$8)-1,$AK88,FALSE)*_xlfn.POISSON.DIST(TRANSPOSE(ROW($1:$8)-1),$AL88,FALSE)*((ROW($1:$8)-1)&gt;(TRANSPOSE(ROW($1:$8)-1))))</f>
        <v>2.9400060370970369</v>
      </c>
      <c r="AO88" s="78" cm="1">
        <f t="array" ref="AO88">1/SUMPRODUCT(_xlfn.POISSON.DIST(ROW($1:$8)-1,$AK88,FALSE)*_xlfn.POISSON.DIST(TRANSPOSE(ROW($1:$8)-1),$AL88,FALSE)*((ROW($1:$8)-1)=(TRANSPOSE(ROW($1:$8)-1))))</f>
        <v>3.9714567385877593</v>
      </c>
      <c r="AP88" s="78" cm="1">
        <f t="array" ref="AP88">1/SUMPRODUCT(_xlfn.POISSON.DIST(ROW($1:$8)-1,$AK88,FALSE)*_xlfn.POISSON.DIST(TRANSPOSE(ROW($1:$8)-1),$AL88,FALSE)*((ROW($1:$8)-1)&lt;(TRANSPOSE(ROW($1:$8)-1))))</f>
        <v>2.4519356254145541</v>
      </c>
      <c r="AQ88" s="75"/>
      <c r="AR88" s="78"/>
      <c r="AS88" s="79">
        <f t="shared" si="95"/>
        <v>2.2681872946228587E-4</v>
      </c>
    </row>
    <row r="89" spans="1:93" ht="14.25" customHeight="1" x14ac:dyDescent="0.2">
      <c r="F89" s="49"/>
      <c r="G89" s="11"/>
      <c r="H89" s="11"/>
      <c r="I89" s="11"/>
      <c r="J89" s="11"/>
      <c r="K89" s="11"/>
      <c r="L89" s="11"/>
      <c r="M89" s="11"/>
      <c r="N89" s="11"/>
      <c r="O89" s="57"/>
      <c r="P89" s="202"/>
      <c r="Q89" s="203"/>
      <c r="R89" s="49"/>
      <c r="S89" s="51"/>
      <c r="T89" s="51"/>
      <c r="U89" s="52"/>
      <c r="V89" s="57"/>
      <c r="Y89" s="51"/>
      <c r="Z89" s="51"/>
      <c r="AA89" s="51"/>
      <c r="AB89" s="51"/>
      <c r="AC89" s="57"/>
      <c r="AD89" s="57"/>
    </row>
    <row r="90" spans="1:93" ht="14.25" customHeight="1" x14ac:dyDescent="0.2">
      <c r="F90" s="49" t="s">
        <v>140</v>
      </c>
      <c r="G90" s="204" t="str">
        <f>$F90 &amp; " / Odds"</f>
        <v>Group I / Odds</v>
      </c>
      <c r="H90" s="204"/>
      <c r="I90" s="204"/>
      <c r="J90" s="204"/>
      <c r="K90" s="204"/>
      <c r="L90" s="204"/>
      <c r="M90" s="204"/>
      <c r="N90" s="204"/>
      <c r="O90" s="57"/>
      <c r="P90" s="204" t="str">
        <f>$F90 &amp; " / Results"</f>
        <v>Group I / Results</v>
      </c>
      <c r="Q90" s="205"/>
      <c r="R90" s="206"/>
      <c r="S90" s="206"/>
      <c r="T90" s="206"/>
      <c r="U90" s="206"/>
      <c r="V90" s="57"/>
      <c r="W90" s="207"/>
      <c r="X90" s="208" t="str">
        <f>X82</f>
        <v>Ranking</v>
      </c>
      <c r="Y90" s="209" t="s">
        <v>24</v>
      </c>
      <c r="Z90" s="209" t="s">
        <v>25</v>
      </c>
      <c r="AA90" s="209" t="s">
        <v>26</v>
      </c>
      <c r="AB90" s="209" t="str">
        <f>"+/-"</f>
        <v>+/-</v>
      </c>
      <c r="AC90" s="57"/>
      <c r="AD90" s="57"/>
      <c r="BD90" s="63" t="s">
        <v>37</v>
      </c>
      <c r="BE90" s="64" t="s">
        <v>38</v>
      </c>
      <c r="BF90" s="65" t="s">
        <v>24</v>
      </c>
      <c r="BG90" s="66" t="s">
        <v>25</v>
      </c>
      <c r="BH90" s="65" t="s">
        <v>26</v>
      </c>
      <c r="BI90" s="67" t="s">
        <v>39</v>
      </c>
      <c r="BJ90" s="65" t="s">
        <v>40</v>
      </c>
      <c r="BK90" s="65" t="s">
        <v>41</v>
      </c>
      <c r="BL90" s="65" t="s">
        <v>42</v>
      </c>
      <c r="BM90" s="65" t="s">
        <v>43</v>
      </c>
      <c r="BN90" s="66" t="s">
        <v>44</v>
      </c>
      <c r="BO90" s="65" t="s">
        <v>45</v>
      </c>
      <c r="BP90" s="65" t="s">
        <v>46</v>
      </c>
      <c r="BQ90" s="67" t="s">
        <v>47</v>
      </c>
      <c r="BR90" s="66" t="s">
        <v>48</v>
      </c>
      <c r="BS90" s="65" t="s">
        <v>49</v>
      </c>
      <c r="BT90" s="65" t="s">
        <v>50</v>
      </c>
      <c r="BU90" s="67" t="s">
        <v>51</v>
      </c>
      <c r="BV90" s="66" t="s">
        <v>52</v>
      </c>
      <c r="BW90" s="65" t="s">
        <v>53</v>
      </c>
      <c r="BX90" s="65" t="s">
        <v>54</v>
      </c>
      <c r="BY90" s="67" t="s">
        <v>55</v>
      </c>
      <c r="BZ90" s="66" t="s">
        <v>56</v>
      </c>
      <c r="CA90" s="65" t="s">
        <v>48</v>
      </c>
      <c r="CB90" s="65" t="s">
        <v>49</v>
      </c>
      <c r="CC90" s="65" t="s">
        <v>50</v>
      </c>
      <c r="CD90" s="65" t="s">
        <v>51</v>
      </c>
      <c r="CE90" s="65" t="s">
        <v>57</v>
      </c>
      <c r="CF90" s="65" t="s">
        <v>58</v>
      </c>
      <c r="CG90" s="65" t="s">
        <v>59</v>
      </c>
      <c r="CH90" s="65" t="s">
        <v>60</v>
      </c>
      <c r="CI90" s="65" t="s">
        <v>61</v>
      </c>
      <c r="CJ90" s="65" t="s">
        <v>62</v>
      </c>
      <c r="CK90" s="65" t="s">
        <v>63</v>
      </c>
      <c r="CL90" s="66" t="s">
        <v>64</v>
      </c>
      <c r="CM90" s="65" t="s">
        <v>65</v>
      </c>
      <c r="CN90" s="65" t="s">
        <v>66</v>
      </c>
      <c r="CO90" s="67" t="s">
        <v>67</v>
      </c>
    </row>
    <row r="91" spans="1:93" ht="14.25" customHeight="1" x14ac:dyDescent="0.2">
      <c r="A91" s="49">
        <f>IF(OR(ISBLANK(S91),ISBLANK(T91)),1,0)</f>
        <v>1</v>
      </c>
      <c r="C91" s="49">
        <v>17</v>
      </c>
      <c r="D91" s="49" t="s">
        <v>141</v>
      </c>
      <c r="E91" s="49" t="s">
        <v>11</v>
      </c>
      <c r="F91" s="49" t="s">
        <v>140</v>
      </c>
      <c r="G91" s="11" t="str">
        <f>R91</f>
        <v>France</v>
      </c>
      <c r="H91" s="11">
        <f>AN91</f>
        <v>2.0279448096389134</v>
      </c>
      <c r="I91" s="11"/>
      <c r="J91" s="11" t="s">
        <v>35</v>
      </c>
      <c r="K91" s="11">
        <f>AO91</f>
        <v>4.1438428223847037</v>
      </c>
      <c r="L91" s="11"/>
      <c r="M91" s="11" t="str">
        <f>U91</f>
        <v>Senegal</v>
      </c>
      <c r="N91" s="11">
        <f>AP91</f>
        <v>3.7710306044684145</v>
      </c>
      <c r="O91" s="57"/>
      <c r="P91" s="68">
        <v>46189</v>
      </c>
      <c r="Q91" s="69">
        <v>0.875</v>
      </c>
      <c r="R91" s="210" t="s">
        <v>142</v>
      </c>
      <c r="S91" s="20"/>
      <c r="T91" s="20"/>
      <c r="U91" s="211" t="s">
        <v>143</v>
      </c>
      <c r="V91" s="57"/>
      <c r="W91" s="212">
        <f>BA91</f>
        <v>1</v>
      </c>
      <c r="X91" s="213" t="str">
        <f>INDEX(BE91:BE94,MATCH(BC91,$BD91:$BD94,0))</f>
        <v>France</v>
      </c>
      <c r="Y91" s="214">
        <f>INDEX(BF91:BF94,MATCH(BC91,$BD91:$BD94,0))</f>
        <v>0</v>
      </c>
      <c r="Z91" s="214">
        <f>INDEX(BG91:BG94,MATCH(BC91,$BD91:$BD94,0))</f>
        <v>0</v>
      </c>
      <c r="AA91" s="214">
        <f>INDEX(BH91:BH94,MATCH(BC91,$BD91:$BD94,0))</f>
        <v>0</v>
      </c>
      <c r="AB91" s="214">
        <f>INDEX(BI91:BI94,MATCH(BC91,$BD91:$BD94,0))</f>
        <v>0</v>
      </c>
      <c r="AC91" s="57"/>
      <c r="AD91" s="57"/>
      <c r="AE91" s="49" t="str">
        <f t="shared" ref="AE91:AE96" si="96">R91</f>
        <v>France</v>
      </c>
      <c r="AF91" s="49" t="str">
        <f t="shared" ref="AF91:AF96" si="97">U91</f>
        <v>Senegal</v>
      </c>
      <c r="AG91" s="75">
        <f>_xlfn.XLOOKUP(AE91,'FIFA rankings'!$B:$B,'FIFA rankings'!$D:$D)</f>
        <v>1877.32</v>
      </c>
      <c r="AH91" s="75">
        <f>_xlfn.XLOOKUP(AF91,'FIFA rankings'!$B:$B,'FIFA rankings'!$D:$D)</f>
        <v>1688.99</v>
      </c>
      <c r="AI91" s="76">
        <f t="shared" ref="AI91:AI96" si="98">IFERROR(AG91-AH91,"n.a.")</f>
        <v>188.32999999999993</v>
      </c>
      <c r="AJ91" s="75"/>
      <c r="AK91" s="77">
        <f t="shared" ref="AK91:AK96" si="99">IFERROR($AI$7*POWER(10,$AI91/$AI$6),"n.a.")</f>
        <v>1.6794174806261593</v>
      </c>
      <c r="AL91" s="77">
        <f t="shared" ref="AL91:AL96" si="100">IFERROR($AI$7*POWER(10,-$AI91/$AI$6),"n.a.")</f>
        <v>1.1670713343231529</v>
      </c>
      <c r="AM91" s="75"/>
      <c r="AN91" s="78" cm="1">
        <f t="array" ref="AN91">1/SUMPRODUCT(_xlfn.POISSON.DIST(ROW($1:$8)-1,$AK91,FALSE)*_xlfn.POISSON.DIST(TRANSPOSE(ROW($1:$8)-1),$AL91,FALSE)*((ROW($1:$8)-1)&gt;(TRANSPOSE(ROW($1:$8)-1))))</f>
        <v>2.0279448096389134</v>
      </c>
      <c r="AO91" s="78" cm="1">
        <f t="array" ref="AO91">1/SUMPRODUCT(_xlfn.POISSON.DIST(ROW($1:$8)-1,$AK91,FALSE)*_xlfn.POISSON.DIST(TRANSPOSE(ROW($1:$8)-1),$AL91,FALSE)*((ROW($1:$8)-1)=(TRANSPOSE(ROW($1:$8)-1))))</f>
        <v>4.1438428223847037</v>
      </c>
      <c r="AP91" s="78" cm="1">
        <f t="array" ref="AP91">1/SUMPRODUCT(_xlfn.POISSON.DIST(ROW($1:$8)-1,$AK91,FALSE)*_xlfn.POISSON.DIST(TRANSPOSE(ROW($1:$8)-1),$AL91,FALSE)*((ROW($1:$8)-1)&lt;(TRANSPOSE(ROW($1:$8)-1))))</f>
        <v>3.7710306044684145</v>
      </c>
      <c r="AQ91" s="75"/>
      <c r="AR91" s="78"/>
      <c r="AS91" s="79">
        <f>1-SUM(1/AN91,1/AO91,1/AP91)</f>
        <v>3.885417674885927E-4</v>
      </c>
      <c r="BA91" s="80">
        <v>1</v>
      </c>
      <c r="BB91" s="80">
        <f>ROUND(BC91,0)</f>
        <v>2</v>
      </c>
      <c r="BC91" s="81">
        <f>MIN(BD91:BD94)</f>
        <v>2.4500000000000002</v>
      </c>
      <c r="BD91" s="82">
        <f>SUM(BV91:BY91)+2.45</f>
        <v>2.4500000000000002</v>
      </c>
      <c r="BE91" s="83" t="str">
        <f>R91</f>
        <v>France</v>
      </c>
      <c r="BF91" s="51">
        <f>SUM(BJ91:BM91)</f>
        <v>0</v>
      </c>
      <c r="BG91" s="84">
        <f>S91+S93+T95</f>
        <v>0</v>
      </c>
      <c r="BH91" s="51">
        <f>T91+T93+S95</f>
        <v>0</v>
      </c>
      <c r="BI91" s="85">
        <f>BG91-BH91</f>
        <v>0</v>
      </c>
      <c r="BJ91" s="51" t="s">
        <v>71</v>
      </c>
      <c r="BK91" s="51">
        <f>IF(ISBLANK(S91),0,IF(S91&gt;T91,3,IF(S91=T91,1,0)))</f>
        <v>0</v>
      </c>
      <c r="BL91" s="51">
        <f>IF(ISBLANK(S93),0,IF(S93&gt;T93,3,IF(S93=T93,1,0)))</f>
        <v>0</v>
      </c>
      <c r="BM91" s="51">
        <f>IF(ISBLANK(T95),0,IF(T95&gt;S95,3,IF(T95=S95,1,0)))</f>
        <v>0</v>
      </c>
      <c r="BN91" s="84" t="s">
        <v>71</v>
      </c>
      <c r="BO91" s="51" t="b">
        <f>(10*(BI91-BI92)+BG91-BG92&gt;0)</f>
        <v>0</v>
      </c>
      <c r="BP91" s="51" t="b">
        <f>10*(BI91-BI93)+BG91-BG93&gt;0</f>
        <v>0</v>
      </c>
      <c r="BQ91" s="85" t="b">
        <f>10*(BI91-BI94)+BG91-BG94&gt;0</f>
        <v>0</v>
      </c>
      <c r="BR91" s="84">
        <f>10000*(BK91+BL91)+(S93-T93+S91-T91)*100+(S93+S91)</f>
        <v>0</v>
      </c>
      <c r="BS91" s="51">
        <f>10000*(BK91+BM91)+(S91-T91+T95-S95)*100+(S91+T95)</f>
        <v>0</v>
      </c>
      <c r="BT91" s="51">
        <f>10000*(BL91+BM91)+(T95-S95+S93-T93)*100+(T95+S93)</f>
        <v>0</v>
      </c>
      <c r="BU91" s="85" t="s">
        <v>71</v>
      </c>
      <c r="BV91" s="84" t="s">
        <v>71</v>
      </c>
      <c r="BW91" s="86">
        <f>IF($BF91&gt;$BF92,-0.5,IF($BF92&gt;$BF91,0.5,IF(BO91,-0.5,IF(BN92,0.5,CM91))))</f>
        <v>0</v>
      </c>
      <c r="BX91" s="86">
        <f>IF($BF91&gt;$BF93,-0.5,IF($BF93&gt;$BF91,0.5,IF(BP91,-0.5,IF(BN93,0.5,CN91))))</f>
        <v>0</v>
      </c>
      <c r="BY91" s="87">
        <f>IF($BF91&gt;$BF94,-0.5,IF($BF94&gt;$BF91,0.5,IF(BQ91,-0.5,IF(BN94,0.5,CO91))))</f>
        <v>0</v>
      </c>
      <c r="BZ91" s="88" t="b">
        <f>AND(AND(BF91=BF92,BF92=BF93,BF93=BF94),AND(BG91=BG92,BG92=BG93,BG93=BG94),AND(BH91=BH92,BH92=BH93,BH93=BH94))</f>
        <v>1</v>
      </c>
      <c r="CA91" s="88" t="b">
        <f>AND(NOT(BZ91),BF91=BF92,BF91=BF93,BG91=BG92,BG91=BG93,BH91=BH92,BH91=BH93)</f>
        <v>0</v>
      </c>
      <c r="CB91" s="88" t="b">
        <f>AND(NOT(BZ91),BF91=BF92,BF91=BF94,BG91=BG92,BG91=BG94,BH91=BH92,BH91=BH94)</f>
        <v>0</v>
      </c>
      <c r="CC91" s="88" t="b">
        <f>AND(NOT(BZ91),BF91=BF93,BF91=BF94,BG91=BG93,BG91=BG94,BH91=BH93,BH91=BH94)</f>
        <v>0</v>
      </c>
      <c r="CD91" s="88" t="b">
        <f>AND(NOT(BZ91),BF92=BF93,BF92=BF94,BG92=BG93,BG92=BG94,BH92=BH93,BH92=BH94)</f>
        <v>0</v>
      </c>
      <c r="CE91" s="88" t="b">
        <f>AND(NOT(BZ91),NOT(CA91),NOT(CB91),BF91=BF92,BG91=BG92,BH91=BH92)</f>
        <v>0</v>
      </c>
      <c r="CF91" s="88" t="b">
        <f>AND(NOT(BZ91),NOT(CA91),NOT(CC91),BF91=BF93,BG91=BG93,BH91=BH93)</f>
        <v>0</v>
      </c>
      <c r="CG91" s="88" t="b">
        <f>AND(NOT(BZ91),NOT(CB91),NOT(CC91),BF91=BF94,BG91=BG94,BH91=BH94)</f>
        <v>0</v>
      </c>
      <c r="CH91" s="88" t="b">
        <f>AND(NOT(BZ91),NOT(CA91),NOT(CD91),BF92=BF93,BG92=BG93)</f>
        <v>0</v>
      </c>
      <c r="CI91" s="88" t="b">
        <f>AND(NOT(BZ91),NOT(CB91),NOT(CD91),BF92=BF94,BG92=BG94,BH92=BH94)</f>
        <v>0</v>
      </c>
      <c r="CJ91" s="88" t="b">
        <f>AND(NOT(BZ91),NOT(CC91),NOT(CD91),BF93=BF94,BG93=BG94,BH93=BH94)</f>
        <v>0</v>
      </c>
      <c r="CK91" s="88" t="b">
        <f t="array" ref="CK91">AND(NOT(BZ91:CJ91))</f>
        <v>0</v>
      </c>
      <c r="CL91" s="84" t="s">
        <v>71</v>
      </c>
      <c r="CM91" s="51">
        <f>IF($CE91,IF(T91-S91&lt;0,-0.5,IF(S91-T91&lt;0,0.5,0)),IF($CA91,IF($BR91&gt;$BR92,-0.5,IF($BR91&lt;$BR92,0.5,0)),IF($CB91,IF($BS91&gt;$BS92,-0.5, IF($BS91&lt;$BS92,0.5,0)),0)))</f>
        <v>0</v>
      </c>
      <c r="CN91" s="51">
        <f>IF($CF91,IF(T93-S93&lt;0,-0.5,IF(S93-T93&lt;0,0.5,0)),IF($CA91,IF($BR91&gt;$BR93,-0.5,IF($BR91&lt;$BR93,0.5,0)),IF($CC91,IF($BT91&gt;$BT93,-0.5,IF($BT91&lt;$BT93,0.5,0)),0)))</f>
        <v>0</v>
      </c>
      <c r="CO91" s="85">
        <f>IF($CG91,IF(S95-T95&lt;0,-0.5,IF(T95-S95&lt;0,0.5,0)),IF($CB91,IF($BS91&gt;$BS94,-0.5,IF($BS91&lt;$BS94,0.5,0)),IF($CC91,IF($BT91&gt;$BT94,-0.5, IF($BT91&lt;$BT94,0.5,0)),0)))</f>
        <v>0</v>
      </c>
    </row>
    <row r="92" spans="1:93" ht="14.25" customHeight="1" x14ac:dyDescent="0.2">
      <c r="A92" s="49">
        <f t="shared" ref="A92:A96" si="101">IF(OR(ISBLANK(S92),ISBLANK(T92)),1,0)</f>
        <v>1</v>
      </c>
      <c r="C92" s="49">
        <v>18</v>
      </c>
      <c r="D92" s="49" t="s">
        <v>144</v>
      </c>
      <c r="E92" s="49" t="s">
        <v>11</v>
      </c>
      <c r="F92" s="49" t="s">
        <v>140</v>
      </c>
      <c r="G92" s="11" t="str">
        <f t="shared" ref="G92:G96" si="102">R92</f>
        <v>Iraq</v>
      </c>
      <c r="H92" s="11">
        <f t="shared" ref="H92:H96" si="103">AN92</f>
        <v>3.2064972057831236</v>
      </c>
      <c r="I92" s="11"/>
      <c r="J92" s="11" t="s">
        <v>35</v>
      </c>
      <c r="K92" s="11">
        <f t="shared" ref="K92:K96" si="104">AO92</f>
        <v>4.0117594967421946</v>
      </c>
      <c r="L92" s="11"/>
      <c r="M92" s="11" t="str">
        <f t="shared" ref="M92:M96" si="105">U92</f>
        <v>Norway</v>
      </c>
      <c r="N92" s="11">
        <f t="shared" ref="N92:N96" si="106">AP92</f>
        <v>2.2799640544504474</v>
      </c>
      <c r="O92" s="57"/>
      <c r="P92" s="89">
        <v>46190</v>
      </c>
      <c r="Q92" s="90">
        <v>0</v>
      </c>
      <c r="R92" s="213" t="s">
        <v>145</v>
      </c>
      <c r="S92" s="20"/>
      <c r="T92" s="20"/>
      <c r="U92" s="215" t="s">
        <v>146</v>
      </c>
      <c r="V92" s="57"/>
      <c r="W92" s="212">
        <f>BA92</f>
        <v>1</v>
      </c>
      <c r="X92" s="213" t="str">
        <f>INDEX(BE91:BE94,MATCH(BC92,$BD91:$BD94,0))</f>
        <v>Senegal</v>
      </c>
      <c r="Y92" s="214">
        <f>INDEX(BF91:BF94,MATCH(BC92,$BD91:$BD94,0))</f>
        <v>0</v>
      </c>
      <c r="Z92" s="214">
        <f>INDEX(BG91:BG94,MATCH(BC92,$BD91:$BD94,0))</f>
        <v>0</v>
      </c>
      <c r="AA92" s="214">
        <f>INDEX(BH91:BH94,MATCH(BC92,$BD91:$BD94,0))</f>
        <v>0</v>
      </c>
      <c r="AB92" s="214">
        <f>INDEX(BI91:BI94,MATCH(BC92,$BD91:$BD94,0))</f>
        <v>0</v>
      </c>
      <c r="AC92" s="57"/>
      <c r="AD92" s="57"/>
      <c r="AE92" s="49" t="str">
        <f t="shared" si="96"/>
        <v>Iraq</v>
      </c>
      <c r="AF92" s="49" t="str">
        <f t="shared" si="97"/>
        <v>Norway</v>
      </c>
      <c r="AG92" s="75">
        <f>_xlfn.XLOOKUP(AE92,'FIFA rankings'!$B:$B,'FIFA rankings'!$D:$D)</f>
        <v>1447.14</v>
      </c>
      <c r="AH92" s="75">
        <f>_xlfn.XLOOKUP(AF92,'FIFA rankings'!$B:$B,'FIFA rankings'!$D:$D)</f>
        <v>1550.94</v>
      </c>
      <c r="AI92" s="76">
        <f t="shared" si="98"/>
        <v>-103.79999999999995</v>
      </c>
      <c r="AJ92" s="75"/>
      <c r="AK92" s="77">
        <f t="shared" si="99"/>
        <v>1.266395900609417</v>
      </c>
      <c r="AL92" s="77">
        <f t="shared" si="100"/>
        <v>1.5476992613895904</v>
      </c>
      <c r="AM92" s="75"/>
      <c r="AN92" s="78" cm="1">
        <f t="array" ref="AN92">1/SUMPRODUCT(_xlfn.POISSON.DIST(ROW($1:$8)-1,$AK92,FALSE)*_xlfn.POISSON.DIST(TRANSPOSE(ROW($1:$8)-1),$AL92,FALSE)*((ROW($1:$8)-1)&gt;(TRANSPOSE(ROW($1:$8)-1))))</f>
        <v>3.2064972057831236</v>
      </c>
      <c r="AO92" s="78" cm="1">
        <f t="array" ref="AO92">1/SUMPRODUCT(_xlfn.POISSON.DIST(ROW($1:$8)-1,$AK92,FALSE)*_xlfn.POISSON.DIST(TRANSPOSE(ROW($1:$8)-1),$AL92,FALSE)*((ROW($1:$8)-1)=(TRANSPOSE(ROW($1:$8)-1))))</f>
        <v>4.0117594967421946</v>
      </c>
      <c r="AP92" s="78" cm="1">
        <f t="array" ref="AP92">1/SUMPRODUCT(_xlfn.POISSON.DIST(ROW($1:$8)-1,$AK92,FALSE)*_xlfn.POISSON.DIST(TRANSPOSE(ROW($1:$8)-1),$AL92,FALSE)*((ROW($1:$8)-1)&lt;(TRANSPOSE(ROW($1:$8)-1))))</f>
        <v>2.2799640544504474</v>
      </c>
      <c r="AQ92" s="75"/>
      <c r="AR92" s="78"/>
      <c r="AS92" s="79">
        <f t="shared" ref="AS92:AS96" si="107">1-SUM(1/AN92,1/AO92,1/AP92)</f>
        <v>2.6261519780224063E-4</v>
      </c>
      <c r="BA92" s="80">
        <f>IF(ROUND(BC92,0)=ROUND(BC91,0),BA91,2)</f>
        <v>1</v>
      </c>
      <c r="BB92" s="80">
        <f>ROUND(BC92,0)</f>
        <v>2</v>
      </c>
      <c r="BC92" s="81">
        <f>MAX(MIN(BD91:BD93),MIN(BD91,BD92,BD94),MIN(BD91,BD93,BD94),MIN(BD92:BD94))</f>
        <v>2.46</v>
      </c>
      <c r="BD92" s="92">
        <f>SUM(BV92:BY92)+2.46</f>
        <v>2.46</v>
      </c>
      <c r="BE92" s="83" t="str">
        <f>U91</f>
        <v>Senegal</v>
      </c>
      <c r="BF92" s="51">
        <f>SUM(BJ92:BM92)</f>
        <v>0</v>
      </c>
      <c r="BG92" s="84">
        <f>T91+T94+S96</f>
        <v>0</v>
      </c>
      <c r="BH92" s="51">
        <f>S91+S94+T96</f>
        <v>0</v>
      </c>
      <c r="BI92" s="85">
        <f>BG92-BH92</f>
        <v>0</v>
      </c>
      <c r="BJ92" s="51">
        <f>IF(ISBLANK(T91),0,IF(BK91=3,0,IF(BK91=1,1,3)))</f>
        <v>0</v>
      </c>
      <c r="BK92" s="51" t="s">
        <v>71</v>
      </c>
      <c r="BL92" s="51">
        <f>IF(ISBLANK(S96),0,IF(BK93=3,0,IF(BK93=1,1,3)))</f>
        <v>0</v>
      </c>
      <c r="BM92" s="51">
        <f>IF(ISBLANK(T94),0,IF(T94&gt;S94,3,IF(T94=S94,1,0)))</f>
        <v>0</v>
      </c>
      <c r="BN92" s="84" t="b">
        <f>(10*(BI91-BI92)+BG91-BG92&lt;0)</f>
        <v>0</v>
      </c>
      <c r="BO92" s="51" t="s">
        <v>71</v>
      </c>
      <c r="BP92" s="51" t="b">
        <f>10*(BI92-BI93)+BG92-BG93&gt;0</f>
        <v>0</v>
      </c>
      <c r="BQ92" s="85" t="b">
        <f>10*(BI92-BI94)+BG92-BG94&gt;0</f>
        <v>0</v>
      </c>
      <c r="BR92" s="84">
        <f>10000*(BJ92+BL92)+(T91-S91+S96-T96)*100+(T91+S96)</f>
        <v>0</v>
      </c>
      <c r="BS92" s="51">
        <f>10000*(BJ92+BM92)+(T91-S91+T94-S94)*100+(T91+T94)</f>
        <v>0</v>
      </c>
      <c r="BT92" s="51" t="s">
        <v>71</v>
      </c>
      <c r="BU92" s="85">
        <f>10000*(BL92+BM92)+(T94-S94+S96-T96)*100+(T94+S96)</f>
        <v>0</v>
      </c>
      <c r="BV92" s="93">
        <f>-BW91</f>
        <v>0</v>
      </c>
      <c r="BW92" s="51" t="s">
        <v>71</v>
      </c>
      <c r="BX92" s="86">
        <f>IF($BF92&gt;$BF93,-0.5,IF($BF93&gt;$BF92,0.5,IF(BP92,-0.5,IF(BO93,0.5,CN92))))</f>
        <v>0</v>
      </c>
      <c r="BY92" s="87">
        <f>IF($BF92&gt;$BF94,-0.5,IF($BF94&gt;$BF92,0.5,IF(BQ92,-0.5,IF(BO94,0.5,CO92))))</f>
        <v>0</v>
      </c>
      <c r="CL92" s="84"/>
      <c r="CM92" s="51" t="s">
        <v>71</v>
      </c>
      <c r="CN92" s="51">
        <f>IF($CH91,IF(T96-S96&lt;0,-0.5,IF(S96-T96&lt;0,0.5,0)),IF($CA91,IF($BR92&gt;$BR93,-0.5,IF($BR92&lt;$BR93,0.5,0)),IF($CD91,IF($BU92&gt;$BU93,-0.5,IF($BU92&lt;$BU93,0.5,0)),0)))</f>
        <v>0</v>
      </c>
      <c r="CO92" s="85">
        <f>IF($CI91,IF(S94-T94&lt;0,-0.5,IF(T94-S94&lt;0,0.5,0)),IF($CB91,IF($BS92&gt;$BS94,-0.5,IF($BS92&lt;$BS94,0.5,0)),IF($CD91,IF($BU92&gt;$BU94,-0.5,IF($BU92&lt;$BU94,0.5,0)),0)))</f>
        <v>0</v>
      </c>
    </row>
    <row r="93" spans="1:93" ht="14.25" customHeight="1" x14ac:dyDescent="0.2">
      <c r="A93" s="49">
        <f t="shared" si="101"/>
        <v>1</v>
      </c>
      <c r="C93" s="49">
        <v>41</v>
      </c>
      <c r="D93" s="49" t="s">
        <v>147</v>
      </c>
      <c r="E93" s="49" t="s">
        <v>11</v>
      </c>
      <c r="F93" s="49" t="s">
        <v>140</v>
      </c>
      <c r="G93" s="11" t="str">
        <f t="shared" si="102"/>
        <v>France</v>
      </c>
      <c r="H93" s="11">
        <f t="shared" si="103"/>
        <v>1.545188355193452</v>
      </c>
      <c r="I93" s="11"/>
      <c r="J93" s="11" t="s">
        <v>35</v>
      </c>
      <c r="K93" s="11">
        <f t="shared" si="104"/>
        <v>5.055739520524007</v>
      </c>
      <c r="L93" s="11"/>
      <c r="M93" s="11" t="str">
        <f t="shared" si="105"/>
        <v>Iraq</v>
      </c>
      <c r="N93" s="11">
        <f t="shared" si="106"/>
        <v>6.5169388175547533</v>
      </c>
      <c r="O93" s="57"/>
      <c r="P93" s="68">
        <v>46195</v>
      </c>
      <c r="Q93" s="69">
        <v>0.95833333333333337</v>
      </c>
      <c r="R93" s="210" t="str">
        <f>R91</f>
        <v>France</v>
      </c>
      <c r="S93" s="20"/>
      <c r="T93" s="20"/>
      <c r="U93" s="211" t="str">
        <f>R92</f>
        <v>Iraq</v>
      </c>
      <c r="V93" s="57"/>
      <c r="W93" s="94">
        <f>BA93</f>
        <v>1</v>
      </c>
      <c r="X93" s="57" t="str">
        <f>INDEX(BE91:BE94,MATCH(BC93,$BD91:$BD94,0))</f>
        <v>Iraq</v>
      </c>
      <c r="Y93" s="95">
        <f>INDEX(BF91:BF94,MATCH(BC93,$BD91:$BD94,0))</f>
        <v>0</v>
      </c>
      <c r="Z93" s="95">
        <f>INDEX(BG91:BG94,MATCH(BC93,$BD91:$BD94,0))</f>
        <v>0</v>
      </c>
      <c r="AA93" s="95">
        <f>INDEX(BH91:BH94,MATCH(BC93,$BD91:$BD94,0))</f>
        <v>0</v>
      </c>
      <c r="AB93" s="95">
        <f>INDEX(BI91:BI94,MATCH(BC93,$BD91:$BD94,0))</f>
        <v>0</v>
      </c>
      <c r="AC93" s="57"/>
      <c r="AD93" s="57"/>
      <c r="AE93" s="49" t="str">
        <f t="shared" si="96"/>
        <v>France</v>
      </c>
      <c r="AF93" s="49" t="str">
        <f t="shared" si="97"/>
        <v>Iraq</v>
      </c>
      <c r="AG93" s="75">
        <f>_xlfn.XLOOKUP(AE93,'FIFA rankings'!$B:$B,'FIFA rankings'!$D:$D)</f>
        <v>1877.32</v>
      </c>
      <c r="AH93" s="75">
        <f>_xlfn.XLOOKUP(AF93,'FIFA rankings'!$B:$B,'FIFA rankings'!$D:$D)</f>
        <v>1447.14</v>
      </c>
      <c r="AI93" s="76">
        <f t="shared" si="98"/>
        <v>430.17999999999984</v>
      </c>
      <c r="AJ93" s="75"/>
      <c r="AK93" s="77">
        <f t="shared" si="99"/>
        <v>2.1215261446832794</v>
      </c>
      <c r="AL93" s="77">
        <f t="shared" si="100"/>
        <v>0.92386323162310413</v>
      </c>
      <c r="AM93" s="75"/>
      <c r="AN93" s="78" cm="1">
        <f t="array" ref="AN93">1/SUMPRODUCT(_xlfn.POISSON.DIST(ROW($1:$8)-1,$AK93,FALSE)*_xlfn.POISSON.DIST(TRANSPOSE(ROW($1:$8)-1),$AL93,FALSE)*((ROW($1:$8)-1)&gt;(TRANSPOSE(ROW($1:$8)-1))))</f>
        <v>1.545188355193452</v>
      </c>
      <c r="AO93" s="78" cm="1">
        <f t="array" ref="AO93">1/SUMPRODUCT(_xlfn.POISSON.DIST(ROW($1:$8)-1,$AK93,FALSE)*_xlfn.POISSON.DIST(TRANSPOSE(ROW($1:$8)-1),$AL93,FALSE)*((ROW($1:$8)-1)=(TRANSPOSE(ROW($1:$8)-1))))</f>
        <v>5.055739520524007</v>
      </c>
      <c r="AP93" s="78" cm="1">
        <f t="array" ref="AP93">1/SUMPRODUCT(_xlfn.POISSON.DIST(ROW($1:$8)-1,$AK93,FALSE)*_xlfn.POISSON.DIST(TRANSPOSE(ROW($1:$8)-1),$AL93,FALSE)*((ROW($1:$8)-1)&lt;(TRANSPOSE(ROW($1:$8)-1))))</f>
        <v>6.5169388175547533</v>
      </c>
      <c r="AQ93" s="75"/>
      <c r="AR93" s="78"/>
      <c r="AS93" s="79">
        <f t="shared" si="107"/>
        <v>1.5884299102677524E-3</v>
      </c>
      <c r="BA93" s="80">
        <f>IF(ROUND(BC93,0)=ROUND(BC92,0),BA92,3)</f>
        <v>1</v>
      </c>
      <c r="BB93" s="80">
        <f>ROUND(BC93,0)</f>
        <v>2</v>
      </c>
      <c r="BC93" s="81">
        <f>MIN(MAX(BD91:BD93),MAX(BD91,BD92,BD94),MAX(BD91,BD93,BD94),MAX(BD92:BD94))</f>
        <v>2.4700000000000002</v>
      </c>
      <c r="BD93" s="92">
        <f>SUM(BV93:BY93)+2.47</f>
        <v>2.4700000000000002</v>
      </c>
      <c r="BE93" s="83" t="str">
        <f>R92</f>
        <v>Iraq</v>
      </c>
      <c r="BF93" s="51">
        <f>SUM(BJ93:BM93)</f>
        <v>0</v>
      </c>
      <c r="BG93" s="84">
        <f>S92+T93+T96</f>
        <v>0</v>
      </c>
      <c r="BH93" s="51">
        <f>T92+S93+S96</f>
        <v>0</v>
      </c>
      <c r="BI93" s="85">
        <f>BG93-BH93</f>
        <v>0</v>
      </c>
      <c r="BJ93" s="51">
        <f>IF(ISBLANK(T93),0,IF(BL91=3,0,IF(BL91=1,1,3)))</f>
        <v>0</v>
      </c>
      <c r="BK93" s="51">
        <f>IF(ISBLANK(T96),0,IF(T96&gt;S96,3,IF(T96=S96,1,0)))</f>
        <v>0</v>
      </c>
      <c r="BL93" s="51" t="s">
        <v>71</v>
      </c>
      <c r="BM93" s="51">
        <f>IF(ISBLANK(S92),0,IF(S92&gt;T92,3,IF(S92=T92,1,0)))</f>
        <v>0</v>
      </c>
      <c r="BN93" s="84" t="b">
        <f>10*(BI91-BI93)+BG91-BG93&lt;0</f>
        <v>0</v>
      </c>
      <c r="BO93" s="51" t="b">
        <f>10*(BI92-BI93)+BG92-BG93&lt;0</f>
        <v>0</v>
      </c>
      <c r="BP93" s="51" t="s">
        <v>71</v>
      </c>
      <c r="BQ93" s="85" t="b">
        <f>10*(BI93-BI94)+BG93-BG94&gt;0</f>
        <v>0</v>
      </c>
      <c r="BR93" s="84">
        <f>10000*(BJ93+BK93)+(T93-S93+T96-S96)*100+(T93+T96)</f>
        <v>0</v>
      </c>
      <c r="BS93" s="51" t="s">
        <v>71</v>
      </c>
      <c r="BT93" s="51">
        <f>10000*(BJ93+BM93)+(S92-T92+T93-S93)*100+(S92+T93)</f>
        <v>0</v>
      </c>
      <c r="BU93" s="85">
        <f>10000*(BK93+BM93)+(S92-T92+T96-S96)*100+(S92+T96)</f>
        <v>0</v>
      </c>
      <c r="BV93" s="93">
        <f>-BX91</f>
        <v>0</v>
      </c>
      <c r="BW93" s="86">
        <f>-BX92</f>
        <v>0</v>
      </c>
      <c r="BX93" s="86" t="s">
        <v>71</v>
      </c>
      <c r="BY93" s="87">
        <f>IF($BF93&gt;$BF94,-0.5,IF($BF94&gt;$BF93,0.5,IF(BQ93,-0.5,IF(BP94,0.5,CO93))))</f>
        <v>0</v>
      </c>
      <c r="CL93" s="84"/>
      <c r="CM93" s="51"/>
      <c r="CN93" s="51" t="s">
        <v>71</v>
      </c>
      <c r="CO93" s="85">
        <f>IF($CJ91,IF(T92-S92&lt;0,-0.5,IF(S92-T92&lt;0,0.5,0)),IF($CC91,IF($BT93&gt;$BT94,-0.5,IF($BT93&lt;$BT94,0.5,0)),IF($CD91,IF($BU93&gt;$BU94,-0.5,IF($BU93&lt;$BU94,0.5,0)),0)))</f>
        <v>0</v>
      </c>
    </row>
    <row r="94" spans="1:93" ht="14.25" customHeight="1" x14ac:dyDescent="0.2">
      <c r="A94" s="49">
        <f t="shared" si="101"/>
        <v>1</v>
      </c>
      <c r="C94" s="49">
        <v>42</v>
      </c>
      <c r="D94" s="49" t="s">
        <v>148</v>
      </c>
      <c r="E94" s="49" t="s">
        <v>11</v>
      </c>
      <c r="F94" s="49" t="s">
        <v>140</v>
      </c>
      <c r="G94" s="11" t="str">
        <f t="shared" si="102"/>
        <v>Norway</v>
      </c>
      <c r="H94" s="11">
        <f t="shared" si="103"/>
        <v>3.418437220204253</v>
      </c>
      <c r="I94" s="11"/>
      <c r="J94" s="11" t="s">
        <v>35</v>
      </c>
      <c r="K94" s="11">
        <f t="shared" si="104"/>
        <v>4.0555337918813343</v>
      </c>
      <c r="L94" s="11"/>
      <c r="M94" s="11" t="str">
        <f t="shared" si="105"/>
        <v>Senegal</v>
      </c>
      <c r="N94" s="11">
        <f t="shared" si="106"/>
        <v>2.1711325568128097</v>
      </c>
      <c r="O94" s="57"/>
      <c r="P94" s="89">
        <v>46196</v>
      </c>
      <c r="Q94" s="90">
        <v>8.3333333333333329E-2</v>
      </c>
      <c r="R94" s="213" t="str">
        <f>U92</f>
        <v>Norway</v>
      </c>
      <c r="S94" s="20"/>
      <c r="T94" s="20"/>
      <c r="U94" s="215" t="str">
        <f>U91</f>
        <v>Senegal</v>
      </c>
      <c r="V94" s="57"/>
      <c r="W94" s="94">
        <f>BA94</f>
        <v>1</v>
      </c>
      <c r="X94" s="57" t="str">
        <f>INDEX(BE91:BE94,MATCH(BC94,$BD91:$BD94,0))</f>
        <v>Norway</v>
      </c>
      <c r="Y94" s="95">
        <f>INDEX(BF91:BF94,MATCH(BC94,$BD91:$BD94,0))</f>
        <v>0</v>
      </c>
      <c r="Z94" s="95">
        <f>INDEX(BG91:BG94,MATCH(BC94,$BD91:$BD94,0))</f>
        <v>0</v>
      </c>
      <c r="AA94" s="95">
        <f>INDEX(BH91:BH94,MATCH(BC94,$BD91:$BD94,0))</f>
        <v>0</v>
      </c>
      <c r="AB94" s="95">
        <f>INDEX(BI91:BI94,MATCH(BC94,$BD91:$BD94,0))</f>
        <v>0</v>
      </c>
      <c r="AC94" s="57"/>
      <c r="AD94" s="57"/>
      <c r="AE94" s="49" t="str">
        <f t="shared" si="96"/>
        <v>Norway</v>
      </c>
      <c r="AF94" s="49" t="str">
        <f t="shared" si="97"/>
        <v>Senegal</v>
      </c>
      <c r="AG94" s="75">
        <f>_xlfn.XLOOKUP(AE94,'FIFA rankings'!$B:$B,'FIFA rankings'!$D:$D)</f>
        <v>1550.94</v>
      </c>
      <c r="AH94" s="75">
        <f>_xlfn.XLOOKUP(AF94,'FIFA rankings'!$B:$B,'FIFA rankings'!$D:$D)</f>
        <v>1688.99</v>
      </c>
      <c r="AI94" s="76">
        <f t="shared" si="98"/>
        <v>-138.04999999999995</v>
      </c>
      <c r="AJ94" s="75"/>
      <c r="AK94" s="77">
        <f t="shared" si="99"/>
        <v>1.2251714176814494</v>
      </c>
      <c r="AL94" s="77">
        <f t="shared" si="100"/>
        <v>1.5997761388436254</v>
      </c>
      <c r="AM94" s="75"/>
      <c r="AN94" s="78" cm="1">
        <f t="array" ref="AN94">1/SUMPRODUCT(_xlfn.POISSON.DIST(ROW($1:$8)-1,$AK94,FALSE)*_xlfn.POISSON.DIST(TRANSPOSE(ROW($1:$8)-1),$AL94,FALSE)*((ROW($1:$8)-1)&gt;(TRANSPOSE(ROW($1:$8)-1))))</f>
        <v>3.418437220204253</v>
      </c>
      <c r="AO94" s="78" cm="1">
        <f t="array" ref="AO94">1/SUMPRODUCT(_xlfn.POISSON.DIST(ROW($1:$8)-1,$AK94,FALSE)*_xlfn.POISSON.DIST(TRANSPOSE(ROW($1:$8)-1),$AL94,FALSE)*((ROW($1:$8)-1)=(TRANSPOSE(ROW($1:$8)-1))))</f>
        <v>4.0555337918813343</v>
      </c>
      <c r="AP94" s="78" cm="1">
        <f t="array" ref="AP94">1/SUMPRODUCT(_xlfn.POISSON.DIST(ROW($1:$8)-1,$AK94,FALSE)*_xlfn.POISSON.DIST(TRANSPOSE(ROW($1:$8)-1),$AL94,FALSE)*((ROW($1:$8)-1)&lt;(TRANSPOSE(ROW($1:$8)-1))))</f>
        <v>2.1711325568128097</v>
      </c>
      <c r="AQ94" s="75"/>
      <c r="AR94" s="78"/>
      <c r="AS94" s="79">
        <f t="shared" si="107"/>
        <v>3.0289591657761683E-4</v>
      </c>
      <c r="BA94" s="80">
        <f>IF(ROUND(BC94,0)=ROUND(BC93,0),BA93,4)</f>
        <v>1</v>
      </c>
      <c r="BB94" s="80">
        <f>ROUND(BC94,0)</f>
        <v>2</v>
      </c>
      <c r="BC94" s="81">
        <f>MAX(BD91:BD94)</f>
        <v>2.48</v>
      </c>
      <c r="BD94" s="96">
        <f>SUM(BV94:BY94)+2.48</f>
        <v>2.48</v>
      </c>
      <c r="BE94" s="97" t="str">
        <f>U92</f>
        <v>Norway</v>
      </c>
      <c r="BF94" s="88">
        <f>SUM(BJ94:BM94)</f>
        <v>0</v>
      </c>
      <c r="BG94" s="98">
        <f>T92+S94+S95</f>
        <v>0</v>
      </c>
      <c r="BH94" s="88">
        <f>S92+T94+T95</f>
        <v>0</v>
      </c>
      <c r="BI94" s="99">
        <f>BG94-BH94</f>
        <v>0</v>
      </c>
      <c r="BJ94" s="88">
        <f>IF(ISBLANK(S95),0,IF(BM91=3,0,IF(BM91=1,1,3)))</f>
        <v>0</v>
      </c>
      <c r="BK94" s="88">
        <f>IF(ISBLANK(S94),0,IF(BM92=3,0,IF(BM92=1,1,3)))</f>
        <v>0</v>
      </c>
      <c r="BL94" s="88">
        <f>IF(ISBLANK(T92),0,IF(BM93=3,0,IF(BM93=1,1,3)))</f>
        <v>0</v>
      </c>
      <c r="BM94" s="88" t="s">
        <v>71</v>
      </c>
      <c r="BN94" s="98" t="b">
        <f>10*(BI91-BI94)+BG91-BG94&lt;0</f>
        <v>0</v>
      </c>
      <c r="BO94" s="88" t="b">
        <f>10*(BI92-BI94)+BG92-BG94&lt;0</f>
        <v>0</v>
      </c>
      <c r="BP94" s="88" t="b">
        <f>10*(BI93-BI94)+BG93-BG94&lt;0</f>
        <v>0</v>
      </c>
      <c r="BQ94" s="99" t="s">
        <v>71</v>
      </c>
      <c r="BR94" s="98" t="s">
        <v>71</v>
      </c>
      <c r="BS94" s="88">
        <f>10000*(BJ94+BK94)+(S94-T94+S95-T95)*100+(S94+S95)</f>
        <v>0</v>
      </c>
      <c r="BT94" s="88">
        <f>10000*(BJ94+BL94)+(S95-T95+T92-S92)*100+(S95+T92)</f>
        <v>0</v>
      </c>
      <c r="BU94" s="99">
        <f>10000*(BK94+BL94)+(S94-T94+T92-S92)*100+(S94+T92)</f>
        <v>0</v>
      </c>
      <c r="BV94" s="100">
        <f>-BY91</f>
        <v>0</v>
      </c>
      <c r="BW94" s="101">
        <f>-BY92</f>
        <v>0</v>
      </c>
      <c r="BX94" s="101">
        <f>-BY93</f>
        <v>0</v>
      </c>
      <c r="BY94" s="99" t="s">
        <v>71</v>
      </c>
      <c r="CL94" s="98"/>
      <c r="CM94" s="88"/>
      <c r="CN94" s="88"/>
      <c r="CO94" s="99" t="s">
        <v>71</v>
      </c>
    </row>
    <row r="95" spans="1:93" ht="14.25" customHeight="1" x14ac:dyDescent="0.2">
      <c r="A95" s="49">
        <f t="shared" si="101"/>
        <v>1</v>
      </c>
      <c r="C95" s="49">
        <v>61</v>
      </c>
      <c r="E95" s="49" t="s">
        <v>11</v>
      </c>
      <c r="F95" s="49" t="s">
        <v>140</v>
      </c>
      <c r="G95" s="11" t="str">
        <f t="shared" si="102"/>
        <v>Norway</v>
      </c>
      <c r="H95" s="11">
        <f t="shared" si="103"/>
        <v>5.0723575487264663</v>
      </c>
      <c r="I95" s="11"/>
      <c r="J95" s="11" t="s">
        <v>35</v>
      </c>
      <c r="K95" s="11">
        <f t="shared" si="104"/>
        <v>4.5518365951566704</v>
      </c>
      <c r="L95" s="11"/>
      <c r="M95" s="11" t="str">
        <f t="shared" si="105"/>
        <v>France</v>
      </c>
      <c r="N95" s="11">
        <f t="shared" si="106"/>
        <v>1.717315362249892</v>
      </c>
      <c r="O95" s="57"/>
      <c r="P95" s="68">
        <v>46199</v>
      </c>
      <c r="Q95" s="69">
        <v>0.875</v>
      </c>
      <c r="R95" s="210" t="str">
        <f>U92</f>
        <v>Norway</v>
      </c>
      <c r="S95" s="20"/>
      <c r="T95" s="20"/>
      <c r="U95" s="211" t="str">
        <f>R91</f>
        <v>France</v>
      </c>
      <c r="V95" s="57"/>
      <c r="W95" s="102"/>
      <c r="X95" s="103" t="str">
        <f>IF(OR(W93&lt;3,W92&lt;2),"TIRAGE AU SORT !!!"," ")</f>
        <v>TIRAGE AU SORT !!!</v>
      </c>
      <c r="Y95" s="102"/>
      <c r="Z95" s="102"/>
      <c r="AA95" s="102"/>
      <c r="AB95" s="102"/>
      <c r="AC95" s="57"/>
      <c r="AD95" s="57"/>
      <c r="AE95" s="49" t="str">
        <f t="shared" si="96"/>
        <v>Norway</v>
      </c>
      <c r="AF95" s="49" t="str">
        <f t="shared" si="97"/>
        <v>France</v>
      </c>
      <c r="AG95" s="75">
        <f>_xlfn.XLOOKUP(AE95,'FIFA rankings'!$B:$B,'FIFA rankings'!$D:$D)</f>
        <v>1550.94</v>
      </c>
      <c r="AH95" s="75">
        <f>_xlfn.XLOOKUP(AF95,'FIFA rankings'!$B:$B,'FIFA rankings'!$D:$D)</f>
        <v>1877.32</v>
      </c>
      <c r="AI95" s="76">
        <f t="shared" si="98"/>
        <v>-326.37999999999988</v>
      </c>
      <c r="AJ95" s="75"/>
      <c r="AK95" s="77">
        <f t="shared" si="99"/>
        <v>1.0213303151486275</v>
      </c>
      <c r="AL95" s="77">
        <f t="shared" si="100"/>
        <v>1.9190657233304331</v>
      </c>
      <c r="AM95" s="75"/>
      <c r="AN95" s="78" cm="1">
        <f t="array" ref="AN95">1/SUMPRODUCT(_xlfn.POISSON.DIST(ROW($1:$8)-1,$AK95,FALSE)*_xlfn.POISSON.DIST(TRANSPOSE(ROW($1:$8)-1),$AL95,FALSE)*((ROW($1:$8)-1)&gt;(TRANSPOSE(ROW($1:$8)-1))))</f>
        <v>5.0723575487264663</v>
      </c>
      <c r="AO95" s="78" cm="1">
        <f t="array" ref="AO95">1/SUMPRODUCT(_xlfn.POISSON.DIST(ROW($1:$8)-1,$AK95,FALSE)*_xlfn.POISSON.DIST(TRANSPOSE(ROW($1:$8)-1),$AL95,FALSE)*((ROW($1:$8)-1)=(TRANSPOSE(ROW($1:$8)-1))))</f>
        <v>4.5518365951566704</v>
      </c>
      <c r="AP95" s="78" cm="1">
        <f t="array" ref="AP95">1/SUMPRODUCT(_xlfn.POISSON.DIST(ROW($1:$8)-1,$AK95,FALSE)*_xlfn.POISSON.DIST(TRANSPOSE(ROW($1:$8)-1),$AL95,FALSE)*((ROW($1:$8)-1)&lt;(TRANSPOSE(ROW($1:$8)-1))))</f>
        <v>1.717315362249892</v>
      </c>
      <c r="AQ95" s="75"/>
      <c r="AR95" s="78"/>
      <c r="AS95" s="79">
        <f t="shared" si="107"/>
        <v>8.572424511666954E-4</v>
      </c>
    </row>
    <row r="96" spans="1:93" ht="14.25" customHeight="1" x14ac:dyDescent="0.2">
      <c r="A96" s="49">
        <f t="shared" si="101"/>
        <v>1</v>
      </c>
      <c r="C96" s="49">
        <v>62</v>
      </c>
      <c r="E96" s="49" t="s">
        <v>11</v>
      </c>
      <c r="F96" s="49" t="s">
        <v>140</v>
      </c>
      <c r="G96" s="11" t="str">
        <f t="shared" si="102"/>
        <v>Senegal</v>
      </c>
      <c r="H96" s="11">
        <f t="shared" si="103"/>
        <v>1.8945183166814665</v>
      </c>
      <c r="I96" s="11"/>
      <c r="J96" s="11" t="s">
        <v>35</v>
      </c>
      <c r="K96" s="11">
        <f t="shared" si="104"/>
        <v>4.2713840571293282</v>
      </c>
      <c r="L96" s="11"/>
      <c r="M96" s="11" t="str">
        <f t="shared" si="105"/>
        <v>Iraq</v>
      </c>
      <c r="N96" s="11">
        <f t="shared" si="106"/>
        <v>4.2101220074481107</v>
      </c>
      <c r="O96" s="57"/>
      <c r="P96" s="89">
        <v>46199</v>
      </c>
      <c r="Q96" s="90">
        <v>0.875</v>
      </c>
      <c r="R96" s="213" t="str">
        <f>U91</f>
        <v>Senegal</v>
      </c>
      <c r="S96" s="20"/>
      <c r="T96" s="20"/>
      <c r="U96" s="215" t="str">
        <f>R92</f>
        <v>Iraq</v>
      </c>
      <c r="V96" s="57"/>
      <c r="Y96" s="51"/>
      <c r="Z96" s="51"/>
      <c r="AA96" s="51"/>
      <c r="AB96" s="51"/>
      <c r="AC96" s="57"/>
      <c r="AD96" s="57"/>
      <c r="AE96" s="49" t="str">
        <f t="shared" si="96"/>
        <v>Senegal</v>
      </c>
      <c r="AF96" s="49" t="str">
        <f t="shared" si="97"/>
        <v>Iraq</v>
      </c>
      <c r="AG96" s="75">
        <f>_xlfn.XLOOKUP(AE96,'FIFA rankings'!$B:$B,'FIFA rankings'!$D:$D)</f>
        <v>1688.99</v>
      </c>
      <c r="AH96" s="75">
        <f>_xlfn.XLOOKUP(AF96,'FIFA rankings'!$B:$B,'FIFA rankings'!$D:$D)</f>
        <v>1447.14</v>
      </c>
      <c r="AI96" s="76">
        <f t="shared" si="98"/>
        <v>241.84999999999991</v>
      </c>
      <c r="AJ96" s="75"/>
      <c r="AK96" s="77">
        <f t="shared" si="99"/>
        <v>1.7685516774835497</v>
      </c>
      <c r="AL96" s="77">
        <f t="shared" si="100"/>
        <v>1.1082514720682968</v>
      </c>
      <c r="AM96" s="75"/>
      <c r="AN96" s="78" cm="1">
        <f t="array" ref="AN96">1/SUMPRODUCT(_xlfn.POISSON.DIST(ROW($1:$8)-1,$AK96,FALSE)*_xlfn.POISSON.DIST(TRANSPOSE(ROW($1:$8)-1),$AL96,FALSE)*((ROW($1:$8)-1)&gt;(TRANSPOSE(ROW($1:$8)-1))))</f>
        <v>1.8945183166814665</v>
      </c>
      <c r="AO96" s="78" cm="1">
        <f t="array" ref="AO96">1/SUMPRODUCT(_xlfn.POISSON.DIST(ROW($1:$8)-1,$AK96,FALSE)*_xlfn.POISSON.DIST(TRANSPOSE(ROW($1:$8)-1),$AL96,FALSE)*((ROW($1:$8)-1)=(TRANSPOSE(ROW($1:$8)-1))))</f>
        <v>4.2713840571293282</v>
      </c>
      <c r="AP96" s="78" cm="1">
        <f t="array" ref="AP96">1/SUMPRODUCT(_xlfn.POISSON.DIST(ROW($1:$8)-1,$AK96,FALSE)*_xlfn.POISSON.DIST(TRANSPOSE(ROW($1:$8)-1),$AL96,FALSE)*((ROW($1:$8)-1)&lt;(TRANSPOSE(ROW($1:$8)-1))))</f>
        <v>4.2101220074481107</v>
      </c>
      <c r="AQ96" s="75"/>
      <c r="AR96" s="78"/>
      <c r="AS96" s="79">
        <f t="shared" si="107"/>
        <v>5.2238517724290112E-4</v>
      </c>
    </row>
    <row r="97" spans="1:93" ht="14.25" customHeight="1" x14ac:dyDescent="0.2">
      <c r="F97" s="49"/>
      <c r="G97" s="11"/>
      <c r="H97" s="11"/>
      <c r="I97" s="11"/>
      <c r="J97" s="11"/>
      <c r="K97" s="11"/>
      <c r="L97" s="11"/>
      <c r="M97" s="11"/>
      <c r="N97" s="11"/>
      <c r="O97" s="57"/>
      <c r="P97" s="202"/>
      <c r="Q97" s="203"/>
      <c r="R97" s="49"/>
      <c r="S97" s="51"/>
      <c r="T97" s="51"/>
      <c r="U97" s="52"/>
      <c r="V97" s="57"/>
      <c r="Y97" s="51"/>
      <c r="Z97" s="51"/>
      <c r="AA97" s="51"/>
      <c r="AB97" s="51"/>
      <c r="AC97" s="57"/>
      <c r="AD97" s="57"/>
    </row>
    <row r="98" spans="1:93" ht="14.25" customHeight="1" x14ac:dyDescent="0.2">
      <c r="F98" s="49" t="s">
        <v>149</v>
      </c>
      <c r="G98" s="216" t="str">
        <f>$F98 &amp; " / Odds"</f>
        <v>Group J / Odds</v>
      </c>
      <c r="H98" s="216"/>
      <c r="I98" s="216"/>
      <c r="J98" s="216"/>
      <c r="K98" s="216"/>
      <c r="L98" s="216"/>
      <c r="M98" s="216"/>
      <c r="N98" s="216"/>
      <c r="O98" s="57"/>
      <c r="P98" s="216" t="str">
        <f>$F98 &amp; " / Results"</f>
        <v>Group J / Results</v>
      </c>
      <c r="Q98" s="217"/>
      <c r="R98" s="218"/>
      <c r="S98" s="218"/>
      <c r="T98" s="218"/>
      <c r="U98" s="218"/>
      <c r="V98" s="57"/>
      <c r="W98" s="219"/>
      <c r="X98" s="220" t="str">
        <f>X90</f>
        <v>Ranking</v>
      </c>
      <c r="Y98" s="221" t="s">
        <v>24</v>
      </c>
      <c r="Z98" s="221" t="s">
        <v>25</v>
      </c>
      <c r="AA98" s="221" t="s">
        <v>26</v>
      </c>
      <c r="AB98" s="221" t="str">
        <f>"+/-"</f>
        <v>+/-</v>
      </c>
      <c r="AC98" s="57"/>
      <c r="AD98" s="57"/>
      <c r="BD98" s="63" t="s">
        <v>37</v>
      </c>
      <c r="BE98" s="64" t="s">
        <v>38</v>
      </c>
      <c r="BF98" s="65" t="s">
        <v>24</v>
      </c>
      <c r="BG98" s="66" t="s">
        <v>25</v>
      </c>
      <c r="BH98" s="65" t="s">
        <v>26</v>
      </c>
      <c r="BI98" s="67" t="s">
        <v>39</v>
      </c>
      <c r="BJ98" s="65" t="s">
        <v>40</v>
      </c>
      <c r="BK98" s="65" t="s">
        <v>41</v>
      </c>
      <c r="BL98" s="65" t="s">
        <v>42</v>
      </c>
      <c r="BM98" s="65" t="s">
        <v>43</v>
      </c>
      <c r="BN98" s="66" t="s">
        <v>44</v>
      </c>
      <c r="BO98" s="65" t="s">
        <v>45</v>
      </c>
      <c r="BP98" s="65" t="s">
        <v>46</v>
      </c>
      <c r="BQ98" s="67" t="s">
        <v>47</v>
      </c>
      <c r="BR98" s="66" t="s">
        <v>48</v>
      </c>
      <c r="BS98" s="65" t="s">
        <v>49</v>
      </c>
      <c r="BT98" s="65" t="s">
        <v>50</v>
      </c>
      <c r="BU98" s="67" t="s">
        <v>51</v>
      </c>
      <c r="BV98" s="66" t="s">
        <v>52</v>
      </c>
      <c r="BW98" s="65" t="s">
        <v>53</v>
      </c>
      <c r="BX98" s="65" t="s">
        <v>54</v>
      </c>
      <c r="BY98" s="67" t="s">
        <v>55</v>
      </c>
      <c r="BZ98" s="66" t="s">
        <v>56</v>
      </c>
      <c r="CA98" s="65" t="s">
        <v>48</v>
      </c>
      <c r="CB98" s="65" t="s">
        <v>49</v>
      </c>
      <c r="CC98" s="65" t="s">
        <v>50</v>
      </c>
      <c r="CD98" s="65" t="s">
        <v>51</v>
      </c>
      <c r="CE98" s="65" t="s">
        <v>57</v>
      </c>
      <c r="CF98" s="65" t="s">
        <v>58</v>
      </c>
      <c r="CG98" s="65" t="s">
        <v>59</v>
      </c>
      <c r="CH98" s="65" t="s">
        <v>60</v>
      </c>
      <c r="CI98" s="65" t="s">
        <v>61</v>
      </c>
      <c r="CJ98" s="65" t="s">
        <v>62</v>
      </c>
      <c r="CK98" s="65" t="s">
        <v>63</v>
      </c>
      <c r="CL98" s="66" t="s">
        <v>64</v>
      </c>
      <c r="CM98" s="65" t="s">
        <v>65</v>
      </c>
      <c r="CN98" s="65" t="s">
        <v>66</v>
      </c>
      <c r="CO98" s="67" t="s">
        <v>67</v>
      </c>
    </row>
    <row r="99" spans="1:93" ht="14.25" customHeight="1" x14ac:dyDescent="0.2">
      <c r="A99" s="49">
        <f>IF(OR(ISBLANK(S99),ISBLANK(T99)),1,0)</f>
        <v>1</v>
      </c>
      <c r="C99" s="49">
        <v>19</v>
      </c>
      <c r="D99" s="49" t="s">
        <v>150</v>
      </c>
      <c r="E99" s="49" t="s">
        <v>11</v>
      </c>
      <c r="F99" s="49" t="s">
        <v>149</v>
      </c>
      <c r="G99" s="11" t="str">
        <f>R99</f>
        <v>Argentina</v>
      </c>
      <c r="H99" s="11">
        <f>AN99</f>
        <v>1.7477060844331833</v>
      </c>
      <c r="I99" s="11"/>
      <c r="J99" s="11" t="s">
        <v>35</v>
      </c>
      <c r="K99" s="11">
        <f>AO99</f>
        <v>4.4913020454984851</v>
      </c>
      <c r="L99" s="11"/>
      <c r="M99" s="11" t="str">
        <f>U99</f>
        <v>Algeria</v>
      </c>
      <c r="N99" s="11">
        <f>AP99</f>
        <v>4.892644449241109</v>
      </c>
      <c r="O99" s="57"/>
      <c r="P99" s="68">
        <v>46190</v>
      </c>
      <c r="Q99" s="69">
        <v>0.125</v>
      </c>
      <c r="R99" s="222" t="s">
        <v>151</v>
      </c>
      <c r="S99" s="21"/>
      <c r="T99" s="21"/>
      <c r="U99" s="223" t="s">
        <v>152</v>
      </c>
      <c r="V99" s="57"/>
      <c r="W99" s="224">
        <f>BA99</f>
        <v>1</v>
      </c>
      <c r="X99" s="225" t="str">
        <f>INDEX(BE99:BE102,MATCH(BC99,$BD99:$BD102,0))</f>
        <v>Argentina</v>
      </c>
      <c r="Y99" s="226">
        <f>INDEX(BF99:BF102,MATCH(BC99,$BD99:$BD102,0))</f>
        <v>0</v>
      </c>
      <c r="Z99" s="226">
        <f>INDEX(BG99:BG102,MATCH(BC99,$BD99:$BD102,0))</f>
        <v>0</v>
      </c>
      <c r="AA99" s="226">
        <f>INDEX(BH99:BH102,MATCH(BC99,$BD99:$BD102,0))</f>
        <v>0</v>
      </c>
      <c r="AB99" s="226">
        <f>INDEX(BI99:BI102,MATCH(BC99,$BD99:$BD102,0))</f>
        <v>0</v>
      </c>
      <c r="AC99" s="57"/>
      <c r="AD99" s="57"/>
      <c r="AE99" s="49" t="str">
        <f t="shared" ref="AE99:AE104" si="108">R99</f>
        <v>Argentina</v>
      </c>
      <c r="AF99" s="49" t="str">
        <f t="shared" ref="AF99:AF104" si="109">U99</f>
        <v>Algeria</v>
      </c>
      <c r="AG99" s="75">
        <f>_xlfn.XLOOKUP(AE99,'FIFA rankings'!$B:$B,'FIFA rankings'!$D:$D)</f>
        <v>1874.81</v>
      </c>
      <c r="AH99" s="75">
        <f>_xlfn.XLOOKUP(AF99,'FIFA rankings'!$B:$B,'FIFA rankings'!$D:$D)</f>
        <v>1564.26</v>
      </c>
      <c r="AI99" s="76">
        <f t="shared" ref="AI99:AI104" si="110">IFERROR(AG99-AH99,"n.a.")</f>
        <v>310.54999999999995</v>
      </c>
      <c r="AJ99" s="75"/>
      <c r="AK99" s="77">
        <f t="shared" ref="AK99:AK104" si="111">IFERROR($AI$7*POWER(10,$AI99/$AI$6),"n.a.")</f>
        <v>1.8899354070585046</v>
      </c>
      <c r="AL99" s="77">
        <f t="shared" ref="AL99:AL104" si="112">IFERROR($AI$7*POWER(10,-$AI99/$AI$6),"n.a.")</f>
        <v>1.0370724801915552</v>
      </c>
      <c r="AM99" s="75"/>
      <c r="AN99" s="78" cm="1">
        <f t="array" ref="AN99">1/SUMPRODUCT(_xlfn.POISSON.DIST(ROW($1:$8)-1,$AK99,FALSE)*_xlfn.POISSON.DIST(TRANSPOSE(ROW($1:$8)-1),$AL99,FALSE)*((ROW($1:$8)-1)&gt;(TRANSPOSE(ROW($1:$8)-1))))</f>
        <v>1.7477060844331833</v>
      </c>
      <c r="AO99" s="78" cm="1">
        <f t="array" ref="AO99">1/SUMPRODUCT(_xlfn.POISSON.DIST(ROW($1:$8)-1,$AK99,FALSE)*_xlfn.POISSON.DIST(TRANSPOSE(ROW($1:$8)-1),$AL99,FALSE)*((ROW($1:$8)-1)=(TRANSPOSE(ROW($1:$8)-1))))</f>
        <v>4.4913020454984851</v>
      </c>
      <c r="AP99" s="78" cm="1">
        <f t="array" ref="AP99">1/SUMPRODUCT(_xlfn.POISSON.DIST(ROW($1:$8)-1,$AK99,FALSE)*_xlfn.POISSON.DIST(TRANSPOSE(ROW($1:$8)-1),$AL99,FALSE)*((ROW($1:$8)-1)&lt;(TRANSPOSE(ROW($1:$8)-1))))</f>
        <v>4.892644449241109</v>
      </c>
      <c r="AQ99" s="75"/>
      <c r="AR99" s="78"/>
      <c r="AS99" s="79">
        <f>1-SUM(1/AN99,1/AO99,1/AP99)</f>
        <v>7.8038225792109728E-4</v>
      </c>
      <c r="BA99" s="80">
        <v>1</v>
      </c>
      <c r="BB99" s="80">
        <f>ROUND(BC99,0)</f>
        <v>2</v>
      </c>
      <c r="BC99" s="81">
        <f>MIN(BD99:BD102)</f>
        <v>2.4500000000000002</v>
      </c>
      <c r="BD99" s="82">
        <f>SUM(BV99:BY99)+2.45</f>
        <v>2.4500000000000002</v>
      </c>
      <c r="BE99" s="83" t="str">
        <f>R99</f>
        <v>Argentina</v>
      </c>
      <c r="BF99" s="51">
        <f>SUM(BJ99:BM99)</f>
        <v>0</v>
      </c>
      <c r="BG99" s="84">
        <f>S99+S101+T103</f>
        <v>0</v>
      </c>
      <c r="BH99" s="51">
        <f>T99+T101+S103</f>
        <v>0</v>
      </c>
      <c r="BI99" s="85">
        <f>BG99-BH99</f>
        <v>0</v>
      </c>
      <c r="BJ99" s="51" t="s">
        <v>71</v>
      </c>
      <c r="BK99" s="51">
        <f>IF(ISBLANK(S99),0,IF(S99&gt;T99,3,IF(S99=T99,1,0)))</f>
        <v>0</v>
      </c>
      <c r="BL99" s="51">
        <f>IF(ISBLANK(S101),0,IF(S101&gt;T101,3,IF(S101=T101,1,0)))</f>
        <v>0</v>
      </c>
      <c r="BM99" s="51">
        <f>IF(ISBLANK(T103),0,IF(T103&gt;S103,3,IF(T103=S103,1,0)))</f>
        <v>0</v>
      </c>
      <c r="BN99" s="84" t="s">
        <v>71</v>
      </c>
      <c r="BO99" s="51" t="b">
        <f>(10*(BI99-BI100)+BG99-BG100&gt;0)</f>
        <v>0</v>
      </c>
      <c r="BP99" s="51" t="b">
        <f>10*(BI99-BI101)+BG99-BG101&gt;0</f>
        <v>0</v>
      </c>
      <c r="BQ99" s="85" t="b">
        <f>10*(BI99-BI102)+BG99-BG102&gt;0</f>
        <v>0</v>
      </c>
      <c r="BR99" s="84">
        <f>10000*(BK99+BL99)+(S101-T101+S99-T99)*100+(S101+S99)</f>
        <v>0</v>
      </c>
      <c r="BS99" s="51">
        <f>10000*(BK99+BM99)+(S99-T99+T103-S103)*100+(S99+T103)</f>
        <v>0</v>
      </c>
      <c r="BT99" s="51">
        <f>10000*(BL99+BM99)+(T103-S103+S101-T101)*100+(T103+S101)</f>
        <v>0</v>
      </c>
      <c r="BU99" s="85" t="s">
        <v>71</v>
      </c>
      <c r="BV99" s="84" t="s">
        <v>71</v>
      </c>
      <c r="BW99" s="86">
        <f>IF($BF99&gt;$BF100,-0.5,IF($BF100&gt;$BF99,0.5,IF(BO99,-0.5,IF(BN100,0.5,CM99))))</f>
        <v>0</v>
      </c>
      <c r="BX99" s="86">
        <f>IF($BF99&gt;$BF101,-0.5,IF($BF101&gt;$BF99,0.5,IF(BP99,-0.5,IF(BN101,0.5,CN99))))</f>
        <v>0</v>
      </c>
      <c r="BY99" s="87">
        <f>IF($BF99&gt;$BF102,-0.5,IF($BF102&gt;$BF99,0.5,IF(BQ99,-0.5,IF(BN102,0.5,CO99))))</f>
        <v>0</v>
      </c>
      <c r="BZ99" s="88" t="b">
        <f>AND(AND(BF99=BF100,BF100=BF101,BF101=BF102),AND(BG99=BG100,BG100=BG101,BG101=BG102),AND(BH99=BH100,BH100=BH101,BH101=BH102))</f>
        <v>1</v>
      </c>
      <c r="CA99" s="88" t="b">
        <f>AND(NOT(BZ99),BF99=BF100,BF99=BF101,BG99=BG100,BG99=BG101,BH99=BH100,BH99=BH101)</f>
        <v>0</v>
      </c>
      <c r="CB99" s="88" t="b">
        <f>AND(NOT(BZ99),BF99=BF100,BF99=BF102,BG99=BG100,BG99=BG102,BH99=BH100,BH99=BH102)</f>
        <v>0</v>
      </c>
      <c r="CC99" s="88" t="b">
        <f>AND(NOT(BZ99),BF99=BF101,BF99=BF102,BG99=BG101,BG99=BG102,BH99=BH101,BH99=BH102)</f>
        <v>0</v>
      </c>
      <c r="CD99" s="88" t="b">
        <f>AND(NOT(BZ99),BF100=BF101,BF100=BF102,BG100=BG101,BG100=BG102,BH100=BH101,BH100=BH102)</f>
        <v>0</v>
      </c>
      <c r="CE99" s="88" t="b">
        <f>AND(NOT(BZ99),NOT(CA99),NOT(CB99),BF99=BF100,BG99=BG100,BH99=BH100)</f>
        <v>0</v>
      </c>
      <c r="CF99" s="88" t="b">
        <f>AND(NOT(BZ99),NOT(CA99),NOT(CC99),BF99=BF101,BG99=BG101,BH99=BH101)</f>
        <v>0</v>
      </c>
      <c r="CG99" s="88" t="b">
        <f>AND(NOT(BZ99),NOT(CB99),NOT(CC99),BF99=BF102,BG99=BG102,BH99=BH102)</f>
        <v>0</v>
      </c>
      <c r="CH99" s="88" t="b">
        <f>AND(NOT(BZ99),NOT(CA99),NOT(CD99),BF100=BF101,BG100=BG101)</f>
        <v>0</v>
      </c>
      <c r="CI99" s="88" t="b">
        <f>AND(NOT(BZ99),NOT(CB99),NOT(CD99),BF100=BF102,BG100=BG102,BH100=BH102)</f>
        <v>0</v>
      </c>
      <c r="CJ99" s="88" t="b">
        <f>AND(NOT(BZ99),NOT(CC99),NOT(CD99),BF101=BF102,BG101=BG102,BH101=BH102)</f>
        <v>0</v>
      </c>
      <c r="CK99" s="88" t="b">
        <f t="array" ref="CK99">AND(NOT(BZ99:CJ99))</f>
        <v>0</v>
      </c>
      <c r="CL99" s="84" t="s">
        <v>71</v>
      </c>
      <c r="CM99" s="51">
        <f>IF($CE99,IF(T99-S99&lt;0,-0.5,IF(S99-T99&lt;0,0.5,0)),IF($CA99,IF($BR99&gt;$BR100,-0.5,IF($BR99&lt;$BR100,0.5,0)),IF($CB99,IF($BS99&gt;$BS100,-0.5, IF($BS99&lt;$BS100,0.5,0)),0)))</f>
        <v>0</v>
      </c>
      <c r="CN99" s="51">
        <f>IF($CF99,IF(T101-S101&lt;0,-0.5,IF(S101-T101&lt;0,0.5,0)),IF($CA99,IF($BR99&gt;$BR101,-0.5,IF($BR99&lt;$BR101,0.5,0)),IF($CC99,IF($BT99&gt;$BT101,-0.5,IF($BT99&lt;$BT101,0.5,0)),0)))</f>
        <v>0</v>
      </c>
      <c r="CO99" s="85">
        <f>IF($CG99,IF(S103-T103&lt;0,-0.5,IF(T103-S103&lt;0,0.5,0)),IF($CB99,IF($BS99&gt;$BS102,-0.5,IF($BS99&lt;$BS102,0.5,0)),IF($CC99,IF($BT99&gt;$BT102,-0.5, IF($BT99&lt;$BT102,0.5,0)),0)))</f>
        <v>0</v>
      </c>
    </row>
    <row r="100" spans="1:93" ht="14.25" customHeight="1" x14ac:dyDescent="0.2">
      <c r="A100" s="49">
        <f t="shared" ref="A100:A104" si="113">IF(OR(ISBLANK(S100),ISBLANK(T100)),1,0)</f>
        <v>1</v>
      </c>
      <c r="C100" s="49">
        <v>20</v>
      </c>
      <c r="D100" s="49" t="s">
        <v>153</v>
      </c>
      <c r="E100" s="49" t="s">
        <v>11</v>
      </c>
      <c r="F100" s="49" t="s">
        <v>149</v>
      </c>
      <c r="G100" s="11" t="str">
        <f t="shared" ref="G100:G104" si="114">R100</f>
        <v>Austria</v>
      </c>
      <c r="H100" s="11">
        <f t="shared" ref="H100:H104" si="115">AN100</f>
        <v>1.9921149311899833</v>
      </c>
      <c r="I100" s="11"/>
      <c r="J100" s="11" t="s">
        <v>35</v>
      </c>
      <c r="K100" s="11">
        <f t="shared" ref="K100:K104" si="116">AO100</f>
        <v>4.173018007051005</v>
      </c>
      <c r="L100" s="11"/>
      <c r="M100" s="11" t="str">
        <f t="shared" ref="M100:M104" si="117">U100</f>
        <v>Jordan</v>
      </c>
      <c r="N100" s="11">
        <f t="shared" ref="N100:N104" si="118">AP100</f>
        <v>3.8764482827201894</v>
      </c>
      <c r="O100" s="57"/>
      <c r="P100" s="89">
        <v>46190</v>
      </c>
      <c r="Q100" s="90">
        <v>0.25</v>
      </c>
      <c r="R100" s="225" t="s">
        <v>154</v>
      </c>
      <c r="S100" s="21"/>
      <c r="T100" s="21"/>
      <c r="U100" s="227" t="s">
        <v>155</v>
      </c>
      <c r="V100" s="57"/>
      <c r="W100" s="224">
        <f>BA100</f>
        <v>1</v>
      </c>
      <c r="X100" s="225" t="str">
        <f>INDEX(BE99:BE102,MATCH(BC100,$BD99:$BD102,0))</f>
        <v>Algeria</v>
      </c>
      <c r="Y100" s="226">
        <f>INDEX(BF99:BF102,MATCH(BC100,$BD99:$BD102,0))</f>
        <v>0</v>
      </c>
      <c r="Z100" s="226">
        <f>INDEX(BG99:BG102,MATCH(BC100,$BD99:$BD102,0))</f>
        <v>0</v>
      </c>
      <c r="AA100" s="226">
        <f>INDEX(BH99:BH102,MATCH(BC100,$BD99:$BD102,0))</f>
        <v>0</v>
      </c>
      <c r="AB100" s="226">
        <f>INDEX(BI99:BI102,MATCH(BC100,$BD99:$BD102,0))</f>
        <v>0</v>
      </c>
      <c r="AC100" s="57"/>
      <c r="AD100" s="57"/>
      <c r="AE100" s="49" t="str">
        <f t="shared" si="108"/>
        <v>Austria</v>
      </c>
      <c r="AF100" s="49" t="str">
        <f t="shared" si="109"/>
        <v>Jordan</v>
      </c>
      <c r="AG100" s="75">
        <f>_xlfn.XLOOKUP(AE100,'FIFA rankings'!$B:$B,'FIFA rankings'!$D:$D)</f>
        <v>1593.45</v>
      </c>
      <c r="AH100" s="75">
        <f>_xlfn.XLOOKUP(AF100,'FIFA rankings'!$B:$B,'FIFA rankings'!$D:$D)</f>
        <v>1391.45</v>
      </c>
      <c r="AI100" s="76">
        <f t="shared" si="110"/>
        <v>202</v>
      </c>
      <c r="AJ100" s="75"/>
      <c r="AK100" s="77">
        <f t="shared" si="111"/>
        <v>1.7017475576297367</v>
      </c>
      <c r="AL100" s="77">
        <f t="shared" si="112"/>
        <v>1.1517571987762789</v>
      </c>
      <c r="AM100" s="75"/>
      <c r="AN100" s="78" cm="1">
        <f t="array" ref="AN100">1/SUMPRODUCT(_xlfn.POISSON.DIST(ROW($1:$8)-1,$AK100,FALSE)*_xlfn.POISSON.DIST(TRANSPOSE(ROW($1:$8)-1),$AL100,FALSE)*((ROW($1:$8)-1)&gt;(TRANSPOSE(ROW($1:$8)-1))))</f>
        <v>1.9921149311899833</v>
      </c>
      <c r="AO100" s="78" cm="1">
        <f t="array" ref="AO100">1/SUMPRODUCT(_xlfn.POISSON.DIST(ROW($1:$8)-1,$AK100,FALSE)*_xlfn.POISSON.DIST(TRANSPOSE(ROW($1:$8)-1),$AL100,FALSE)*((ROW($1:$8)-1)=(TRANSPOSE(ROW($1:$8)-1))))</f>
        <v>4.173018007051005</v>
      </c>
      <c r="AP100" s="78" cm="1">
        <f t="array" ref="AP100">1/SUMPRODUCT(_xlfn.POISSON.DIST(ROW($1:$8)-1,$AK100,FALSE)*_xlfn.POISSON.DIST(TRANSPOSE(ROW($1:$8)-1),$AL100,FALSE)*((ROW($1:$8)-1)&lt;(TRANSPOSE(ROW($1:$8)-1))))</f>
        <v>3.8764482827201894</v>
      </c>
      <c r="AQ100" s="75"/>
      <c r="AR100" s="78"/>
      <c r="AS100" s="79">
        <f t="shared" ref="AS100:AS104" si="119">1-SUM(1/AN100,1/AO100,1/AP100)</f>
        <v>4.1811019458903864E-4</v>
      </c>
      <c r="BA100" s="80">
        <f>IF(ROUND(BC100,0)=ROUND(BC99,0),BA99,2)</f>
        <v>1</v>
      </c>
      <c r="BB100" s="80">
        <f>ROUND(BC100,0)</f>
        <v>2</v>
      </c>
      <c r="BC100" s="81">
        <f>MAX(MIN(BD99:BD101),MIN(BD99,BD100,BD102),MIN(BD99,BD101,BD102),MIN(BD100:BD102))</f>
        <v>2.46</v>
      </c>
      <c r="BD100" s="92">
        <f>SUM(BV100:BY100)+2.46</f>
        <v>2.46</v>
      </c>
      <c r="BE100" s="83" t="str">
        <f>U99</f>
        <v>Algeria</v>
      </c>
      <c r="BF100" s="51">
        <f>SUM(BJ100:BM100)</f>
        <v>0</v>
      </c>
      <c r="BG100" s="84">
        <f>T99+T102+S104</f>
        <v>0</v>
      </c>
      <c r="BH100" s="51">
        <f>S99+S102+T104</f>
        <v>0</v>
      </c>
      <c r="BI100" s="85">
        <f>BG100-BH100</f>
        <v>0</v>
      </c>
      <c r="BJ100" s="51">
        <f>IF(ISBLANK(T99),0,IF(BK99=3,0,IF(BK99=1,1,3)))</f>
        <v>0</v>
      </c>
      <c r="BK100" s="51" t="s">
        <v>71</v>
      </c>
      <c r="BL100" s="51">
        <f>IF(ISBLANK(S104),0,IF(BK101=3,0,IF(BK101=1,1,3)))</f>
        <v>0</v>
      </c>
      <c r="BM100" s="51">
        <f>IF(ISBLANK(T102),0,IF(T102&gt;S102,3,IF(T102=S102,1,0)))</f>
        <v>0</v>
      </c>
      <c r="BN100" s="84" t="b">
        <f>(10*(BI99-BI100)+BG99-BG100&lt;0)</f>
        <v>0</v>
      </c>
      <c r="BO100" s="51" t="s">
        <v>71</v>
      </c>
      <c r="BP100" s="51" t="b">
        <f>10*(BI100-BI101)+BG100-BG101&gt;0</f>
        <v>0</v>
      </c>
      <c r="BQ100" s="85" t="b">
        <f>10*(BI100-BI102)+BG100-BG102&gt;0</f>
        <v>0</v>
      </c>
      <c r="BR100" s="84">
        <f>10000*(BJ100+BL100)+(T99-S99+S104-T104)*100+(T99+S104)</f>
        <v>0</v>
      </c>
      <c r="BS100" s="51">
        <f>10000*(BJ100+BM100)+(T99-S99+T102-S102)*100+(T99+T102)</f>
        <v>0</v>
      </c>
      <c r="BT100" s="51" t="s">
        <v>71</v>
      </c>
      <c r="BU100" s="85">
        <f>10000*(BL100+BM100)+(T102-S102+S104-T104)*100+(T102+S104)</f>
        <v>0</v>
      </c>
      <c r="BV100" s="93">
        <f>-BW99</f>
        <v>0</v>
      </c>
      <c r="BW100" s="51" t="s">
        <v>71</v>
      </c>
      <c r="BX100" s="86">
        <f>IF($BF100&gt;$BF101,-0.5,IF($BF101&gt;$BF100,0.5,IF(BP100,-0.5,IF(BO101,0.5,CN100))))</f>
        <v>0</v>
      </c>
      <c r="BY100" s="87">
        <f>IF($BF100&gt;$BF102,-0.5,IF($BF102&gt;$BF100,0.5,IF(BQ100,-0.5,IF(BO102,0.5,CO100))))</f>
        <v>0</v>
      </c>
      <c r="CL100" s="84"/>
      <c r="CM100" s="51" t="s">
        <v>71</v>
      </c>
      <c r="CN100" s="51">
        <f>IF($CH99,IF(T104-S104&lt;0,-0.5,IF(S104-T104&lt;0,0.5,0)),IF($CA99,IF($BR100&gt;$BR101,-0.5,IF($BR100&lt;$BR101,0.5,0)),IF($CD99,IF($BU100&gt;$BU101,-0.5,IF($BU100&lt;$BU101,0.5,0)),0)))</f>
        <v>0</v>
      </c>
      <c r="CO100" s="85">
        <f>IF($CI99,IF(S102-T102&lt;0,-0.5,IF(T102-S102&lt;0,0.5,0)),IF($CB99,IF($BS100&gt;$BS102,-0.5,IF($BS100&lt;$BS102,0.5,0)),IF($CD99,IF($BU100&gt;$BU102,-0.5,IF($BU100&lt;$BU102,0.5,0)),0)))</f>
        <v>0</v>
      </c>
    </row>
    <row r="101" spans="1:93" ht="14.25" customHeight="1" x14ac:dyDescent="0.2">
      <c r="A101" s="49">
        <f t="shared" si="113"/>
        <v>1</v>
      </c>
      <c r="C101" s="49">
        <v>43</v>
      </c>
      <c r="D101" s="49" t="s">
        <v>156</v>
      </c>
      <c r="E101" s="49" t="s">
        <v>11</v>
      </c>
      <c r="F101" s="49" t="s">
        <v>149</v>
      </c>
      <c r="G101" s="11" t="str">
        <f t="shared" si="114"/>
        <v>Argentina</v>
      </c>
      <c r="H101" s="11">
        <f t="shared" si="115"/>
        <v>1.8070029089645663</v>
      </c>
      <c r="I101" s="11"/>
      <c r="J101" s="11" t="s">
        <v>35</v>
      </c>
      <c r="K101" s="11">
        <f t="shared" si="116"/>
        <v>4.3896469576197505</v>
      </c>
      <c r="L101" s="11"/>
      <c r="M101" s="11" t="str">
        <f t="shared" si="117"/>
        <v>Austria</v>
      </c>
      <c r="N101" s="11">
        <f t="shared" si="118"/>
        <v>4.5843847938112541</v>
      </c>
      <c r="O101" s="57"/>
      <c r="P101" s="68">
        <v>46195</v>
      </c>
      <c r="Q101" s="69">
        <v>0.79166666666666663</v>
      </c>
      <c r="R101" s="222" t="str">
        <f>R99</f>
        <v>Argentina</v>
      </c>
      <c r="S101" s="21"/>
      <c r="T101" s="21"/>
      <c r="U101" s="223" t="str">
        <f>R100</f>
        <v>Austria</v>
      </c>
      <c r="V101" s="57"/>
      <c r="W101" s="94">
        <f>BA101</f>
        <v>1</v>
      </c>
      <c r="X101" s="57" t="str">
        <f>INDEX(BE99:BE102,MATCH(BC101,$BD99:$BD102,0))</f>
        <v>Austria</v>
      </c>
      <c r="Y101" s="95">
        <f>INDEX(BF99:BF102,MATCH(BC101,$BD99:$BD102,0))</f>
        <v>0</v>
      </c>
      <c r="Z101" s="95">
        <f>INDEX(BG99:BG102,MATCH(BC101,$BD99:$BD102,0))</f>
        <v>0</v>
      </c>
      <c r="AA101" s="95">
        <f>INDEX(BH99:BH102,MATCH(BC101,$BD99:$BD102,0))</f>
        <v>0</v>
      </c>
      <c r="AB101" s="95">
        <f>INDEX(BI99:BI102,MATCH(BC101,$BD99:$BD102,0))</f>
        <v>0</v>
      </c>
      <c r="AC101" s="57"/>
      <c r="AD101" s="57"/>
      <c r="AE101" s="49" t="str">
        <f t="shared" si="108"/>
        <v>Argentina</v>
      </c>
      <c r="AF101" s="49" t="str">
        <f t="shared" si="109"/>
        <v>Austria</v>
      </c>
      <c r="AG101" s="75">
        <f>_xlfn.XLOOKUP(AE101,'FIFA rankings'!$B:$B,'FIFA rankings'!$D:$D)</f>
        <v>1874.81</v>
      </c>
      <c r="AH101" s="75">
        <f>_xlfn.XLOOKUP(AF101,'FIFA rankings'!$B:$B,'FIFA rankings'!$D:$D)</f>
        <v>1593.45</v>
      </c>
      <c r="AI101" s="76">
        <f t="shared" si="110"/>
        <v>281.3599999999999</v>
      </c>
      <c r="AJ101" s="75"/>
      <c r="AK101" s="77">
        <f t="shared" si="111"/>
        <v>1.8373745467281863</v>
      </c>
      <c r="AL101" s="77">
        <f t="shared" si="112"/>
        <v>1.0667394971211355</v>
      </c>
      <c r="AM101" s="75"/>
      <c r="AN101" s="78" cm="1">
        <f t="array" ref="AN101">1/SUMPRODUCT(_xlfn.POISSON.DIST(ROW($1:$8)-1,$AK101,FALSE)*_xlfn.POISSON.DIST(TRANSPOSE(ROW($1:$8)-1),$AL101,FALSE)*((ROW($1:$8)-1)&gt;(TRANSPOSE(ROW($1:$8)-1))))</f>
        <v>1.8070029089645663</v>
      </c>
      <c r="AO101" s="78" cm="1">
        <f t="array" ref="AO101">1/SUMPRODUCT(_xlfn.POISSON.DIST(ROW($1:$8)-1,$AK101,FALSE)*_xlfn.POISSON.DIST(TRANSPOSE(ROW($1:$8)-1),$AL101,FALSE)*((ROW($1:$8)-1)=(TRANSPOSE(ROW($1:$8)-1))))</f>
        <v>4.3896469576197505</v>
      </c>
      <c r="AP101" s="78" cm="1">
        <f t="array" ref="AP101">1/SUMPRODUCT(_xlfn.POISSON.DIST(ROW($1:$8)-1,$AK101,FALSE)*_xlfn.POISSON.DIST(TRANSPOSE(ROW($1:$8)-1),$AL101,FALSE)*((ROW($1:$8)-1)&lt;(TRANSPOSE(ROW($1:$8)-1))))</f>
        <v>4.5843847938112541</v>
      </c>
      <c r="AQ101" s="75"/>
      <c r="AR101" s="78"/>
      <c r="AS101" s="79">
        <f t="shared" si="119"/>
        <v>6.5693000803512813E-4</v>
      </c>
      <c r="BA101" s="80">
        <f>IF(ROUND(BC101,0)=ROUND(BC100,0),BA100,3)</f>
        <v>1</v>
      </c>
      <c r="BB101" s="80">
        <f>ROUND(BC101,0)</f>
        <v>2</v>
      </c>
      <c r="BC101" s="81">
        <f>MIN(MAX(BD99:BD101),MAX(BD99,BD100,BD102),MAX(BD99,BD101,BD102),MAX(BD100:BD102))</f>
        <v>2.4700000000000002</v>
      </c>
      <c r="BD101" s="92">
        <f>SUM(BV101:BY101)+2.47</f>
        <v>2.4700000000000002</v>
      </c>
      <c r="BE101" s="83" t="str">
        <f>R100</f>
        <v>Austria</v>
      </c>
      <c r="BF101" s="51">
        <f>SUM(BJ101:BM101)</f>
        <v>0</v>
      </c>
      <c r="BG101" s="84">
        <f>S100+T101+T104</f>
        <v>0</v>
      </c>
      <c r="BH101" s="51">
        <f>T100+S101+S104</f>
        <v>0</v>
      </c>
      <c r="BI101" s="85">
        <f>BG101-BH101</f>
        <v>0</v>
      </c>
      <c r="BJ101" s="51">
        <f>IF(ISBLANK(T101),0,IF(BL99=3,0,IF(BL99=1,1,3)))</f>
        <v>0</v>
      </c>
      <c r="BK101" s="51">
        <f>IF(ISBLANK(T104),0,IF(T104&gt;S104,3,IF(T104=S104,1,0)))</f>
        <v>0</v>
      </c>
      <c r="BL101" s="51" t="s">
        <v>71</v>
      </c>
      <c r="BM101" s="51">
        <f>IF(ISBLANK(S100),0,IF(S100&gt;T100,3,IF(S100=T100,1,0)))</f>
        <v>0</v>
      </c>
      <c r="BN101" s="84" t="b">
        <f>10*(BI99-BI101)+BG99-BG101&lt;0</f>
        <v>0</v>
      </c>
      <c r="BO101" s="51" t="b">
        <f>10*(BI100-BI101)+BG100-BG101&lt;0</f>
        <v>0</v>
      </c>
      <c r="BP101" s="51" t="s">
        <v>71</v>
      </c>
      <c r="BQ101" s="85" t="b">
        <f>10*(BI101-BI102)+BG101-BG102&gt;0</f>
        <v>0</v>
      </c>
      <c r="BR101" s="84">
        <f>10000*(BJ101+BK101)+(T101-S101+T104-S104)*100+(T101+T104)</f>
        <v>0</v>
      </c>
      <c r="BS101" s="51" t="s">
        <v>71</v>
      </c>
      <c r="BT101" s="51">
        <f>10000*(BJ101+BM101)+(S100-T100+T101-S101)*100+(S100+T101)</f>
        <v>0</v>
      </c>
      <c r="BU101" s="85">
        <f>10000*(BK101+BM101)+(S100-T100+T104-S104)*100+(S100+T104)</f>
        <v>0</v>
      </c>
      <c r="BV101" s="93">
        <f>-BX99</f>
        <v>0</v>
      </c>
      <c r="BW101" s="86">
        <f>-BX100</f>
        <v>0</v>
      </c>
      <c r="BX101" s="86" t="s">
        <v>71</v>
      </c>
      <c r="BY101" s="87">
        <f>IF($BF101&gt;$BF102,-0.5,IF($BF102&gt;$BF101,0.5,IF(BQ101,-0.5,IF(BP102,0.5,CO101))))</f>
        <v>0</v>
      </c>
      <c r="CL101" s="84"/>
      <c r="CM101" s="51"/>
      <c r="CN101" s="51" t="s">
        <v>71</v>
      </c>
      <c r="CO101" s="85">
        <f>IF($CJ99,IF(T100-S100&lt;0,-0.5,IF(S100-T100&lt;0,0.5,0)),IF($CC99,IF($BT101&gt;$BT102,-0.5,IF($BT101&lt;$BT102,0.5,0)),IF($CD99,IF($BU101&gt;$BU102,-0.5,IF($BU101&lt;$BU102,0.5,0)),0)))</f>
        <v>0</v>
      </c>
    </row>
    <row r="102" spans="1:93" ht="14.25" customHeight="1" x14ac:dyDescent="0.2">
      <c r="A102" s="49">
        <f t="shared" si="113"/>
        <v>1</v>
      </c>
      <c r="C102" s="49">
        <v>44</v>
      </c>
      <c r="D102" s="49" t="s">
        <v>157</v>
      </c>
      <c r="E102" s="49" t="s">
        <v>11</v>
      </c>
      <c r="F102" s="49" t="s">
        <v>149</v>
      </c>
      <c r="G102" s="11" t="str">
        <f t="shared" si="114"/>
        <v>Jordan</v>
      </c>
      <c r="H102" s="11">
        <f t="shared" si="115"/>
        <v>3.656500296121493</v>
      </c>
      <c r="I102" s="11"/>
      <c r="J102" s="11" t="s">
        <v>35</v>
      </c>
      <c r="K102" s="11">
        <f t="shared" si="116"/>
        <v>4.1134417263184373</v>
      </c>
      <c r="L102" s="11"/>
      <c r="M102" s="11" t="str">
        <f t="shared" si="117"/>
        <v>Algeria</v>
      </c>
      <c r="N102" s="11">
        <f t="shared" si="118"/>
        <v>2.0701764021944511</v>
      </c>
      <c r="O102" s="57"/>
      <c r="P102" s="89">
        <v>46196</v>
      </c>
      <c r="Q102" s="90">
        <v>0.20833333333333334</v>
      </c>
      <c r="R102" s="225" t="str">
        <f>U100</f>
        <v>Jordan</v>
      </c>
      <c r="S102" s="21"/>
      <c r="T102" s="21"/>
      <c r="U102" s="227" t="str">
        <f>U99</f>
        <v>Algeria</v>
      </c>
      <c r="V102" s="57"/>
      <c r="W102" s="94">
        <f>BA102</f>
        <v>1</v>
      </c>
      <c r="X102" s="57" t="str">
        <f>INDEX(BE99:BE102,MATCH(BC102,$BD99:$BD102,0))</f>
        <v>Jordan</v>
      </c>
      <c r="Y102" s="95">
        <f>INDEX(BF99:BF102,MATCH(BC102,$BD99:$BD102,0))</f>
        <v>0</v>
      </c>
      <c r="Z102" s="95">
        <f>INDEX(BG99:BG102,MATCH(BC102,$BD99:$BD102,0))</f>
        <v>0</v>
      </c>
      <c r="AA102" s="95">
        <f>INDEX(BH99:BH102,MATCH(BC102,$BD99:$BD102,0))</f>
        <v>0</v>
      </c>
      <c r="AB102" s="95">
        <f>INDEX(BI99:BI102,MATCH(BC102,$BD99:$BD102,0))</f>
        <v>0</v>
      </c>
      <c r="AC102" s="57"/>
      <c r="AD102" s="57"/>
      <c r="AE102" s="49" t="str">
        <f t="shared" si="108"/>
        <v>Jordan</v>
      </c>
      <c r="AF102" s="49" t="str">
        <f t="shared" si="109"/>
        <v>Algeria</v>
      </c>
      <c r="AG102" s="75">
        <f>_xlfn.XLOOKUP(AE102,'FIFA rankings'!$B:$B,'FIFA rankings'!$D:$D)</f>
        <v>1391.45</v>
      </c>
      <c r="AH102" s="75">
        <f>_xlfn.XLOOKUP(AF102,'FIFA rankings'!$B:$B,'FIFA rankings'!$D:$D)</f>
        <v>1564.26</v>
      </c>
      <c r="AI102" s="76">
        <f t="shared" si="110"/>
        <v>-172.80999999999995</v>
      </c>
      <c r="AJ102" s="75"/>
      <c r="AK102" s="77">
        <f t="shared" si="111"/>
        <v>1.1847049444425706</v>
      </c>
      <c r="AL102" s="77">
        <f t="shared" si="112"/>
        <v>1.6544203763091596</v>
      </c>
      <c r="AM102" s="75"/>
      <c r="AN102" s="78" cm="1">
        <f t="array" ref="AN102">1/SUMPRODUCT(_xlfn.POISSON.DIST(ROW($1:$8)-1,$AK102,FALSE)*_xlfn.POISSON.DIST(TRANSPOSE(ROW($1:$8)-1),$AL102,FALSE)*((ROW($1:$8)-1)&gt;(TRANSPOSE(ROW($1:$8)-1))))</f>
        <v>3.656500296121493</v>
      </c>
      <c r="AO102" s="78" cm="1">
        <f t="array" ref="AO102">1/SUMPRODUCT(_xlfn.POISSON.DIST(ROW($1:$8)-1,$AK102,FALSE)*_xlfn.POISSON.DIST(TRANSPOSE(ROW($1:$8)-1),$AL102,FALSE)*((ROW($1:$8)-1)=(TRANSPOSE(ROW($1:$8)-1))))</f>
        <v>4.1134417263184373</v>
      </c>
      <c r="AP102" s="78" cm="1">
        <f t="array" ref="AP102">1/SUMPRODUCT(_xlfn.POISSON.DIST(ROW($1:$8)-1,$AK102,FALSE)*_xlfn.POISSON.DIST(TRANSPOSE(ROW($1:$8)-1),$AL102,FALSE)*((ROW($1:$8)-1)&lt;(TRANSPOSE(ROW($1:$8)-1))))</f>
        <v>2.0701764021944511</v>
      </c>
      <c r="AQ102" s="75"/>
      <c r="AR102" s="78"/>
      <c r="AS102" s="79">
        <f t="shared" si="119"/>
        <v>3.5840067725323443E-4</v>
      </c>
      <c r="BA102" s="80">
        <f>IF(ROUND(BC102,0)=ROUND(BC101,0),BA101,4)</f>
        <v>1</v>
      </c>
      <c r="BB102" s="80">
        <f>ROUND(BC102,0)</f>
        <v>2</v>
      </c>
      <c r="BC102" s="81">
        <f>MAX(BD99:BD102)</f>
        <v>2.48</v>
      </c>
      <c r="BD102" s="96">
        <f>SUM(BV102:BY102)+2.48</f>
        <v>2.48</v>
      </c>
      <c r="BE102" s="97" t="str">
        <f>U100</f>
        <v>Jordan</v>
      </c>
      <c r="BF102" s="88">
        <f>SUM(BJ102:BM102)</f>
        <v>0</v>
      </c>
      <c r="BG102" s="98">
        <f>T100+S102+S103</f>
        <v>0</v>
      </c>
      <c r="BH102" s="88">
        <f>S100+T102+T103</f>
        <v>0</v>
      </c>
      <c r="BI102" s="99">
        <f>BG102-BH102</f>
        <v>0</v>
      </c>
      <c r="BJ102" s="88">
        <f>IF(ISBLANK(S103),0,IF(BM99=3,0,IF(BM99=1,1,3)))</f>
        <v>0</v>
      </c>
      <c r="BK102" s="88">
        <f>IF(ISBLANK(S102),0,IF(BM100=3,0,IF(BM100=1,1,3)))</f>
        <v>0</v>
      </c>
      <c r="BL102" s="88">
        <f>IF(ISBLANK(T100),0,IF(BM101=3,0,IF(BM101=1,1,3)))</f>
        <v>0</v>
      </c>
      <c r="BM102" s="88" t="s">
        <v>71</v>
      </c>
      <c r="BN102" s="98" t="b">
        <f>10*(BI99-BI102)+BG99-BG102&lt;0</f>
        <v>0</v>
      </c>
      <c r="BO102" s="88" t="b">
        <f>10*(BI100-BI102)+BG100-BG102&lt;0</f>
        <v>0</v>
      </c>
      <c r="BP102" s="88" t="b">
        <f>10*(BI101-BI102)+BG101-BG102&lt;0</f>
        <v>0</v>
      </c>
      <c r="BQ102" s="99" t="s">
        <v>71</v>
      </c>
      <c r="BR102" s="98" t="s">
        <v>71</v>
      </c>
      <c r="BS102" s="88">
        <f>10000*(BJ102+BK102)+(S102-T102+S103-T103)*100+(S102+S103)</f>
        <v>0</v>
      </c>
      <c r="BT102" s="88">
        <f>10000*(BJ102+BL102)+(S103-T103+T100-S100)*100+(S103+T100)</f>
        <v>0</v>
      </c>
      <c r="BU102" s="99">
        <f>10000*(BK102+BL102)+(S102-T102+T100-S100)*100+(S102+T100)</f>
        <v>0</v>
      </c>
      <c r="BV102" s="100">
        <f>-BY99</f>
        <v>0</v>
      </c>
      <c r="BW102" s="101">
        <f>-BY100</f>
        <v>0</v>
      </c>
      <c r="BX102" s="101">
        <f>-BY101</f>
        <v>0</v>
      </c>
      <c r="BY102" s="99" t="s">
        <v>71</v>
      </c>
      <c r="CL102" s="98"/>
      <c r="CM102" s="88"/>
      <c r="CN102" s="88"/>
      <c r="CO102" s="99" t="s">
        <v>71</v>
      </c>
    </row>
    <row r="103" spans="1:93" ht="14.25" customHeight="1" x14ac:dyDescent="0.2">
      <c r="A103" s="49">
        <f t="shared" si="113"/>
        <v>1</v>
      </c>
      <c r="C103" s="49">
        <v>69</v>
      </c>
      <c r="E103" s="49" t="s">
        <v>11</v>
      </c>
      <c r="F103" s="49" t="s">
        <v>149</v>
      </c>
      <c r="G103" s="11" t="str">
        <f t="shared" si="114"/>
        <v>Jordan</v>
      </c>
      <c r="H103" s="11">
        <f t="shared" si="115"/>
        <v>7.4829528316526686</v>
      </c>
      <c r="I103" s="11"/>
      <c r="J103" s="11" t="s">
        <v>35</v>
      </c>
      <c r="K103" s="11">
        <f t="shared" si="116"/>
        <v>5.3984676659552591</v>
      </c>
      <c r="L103" s="11"/>
      <c r="M103" s="11" t="str">
        <f t="shared" si="117"/>
        <v>Argentina</v>
      </c>
      <c r="N103" s="11">
        <f t="shared" si="118"/>
        <v>1.4728544716691863</v>
      </c>
      <c r="O103" s="57"/>
      <c r="P103" s="68">
        <v>46201</v>
      </c>
      <c r="Q103" s="69">
        <v>0.16666666666666666</v>
      </c>
      <c r="R103" s="222" t="str">
        <f>U100</f>
        <v>Jordan</v>
      </c>
      <c r="S103" s="21"/>
      <c r="T103" s="21"/>
      <c r="U103" s="223" t="str">
        <f>R99</f>
        <v>Argentina</v>
      </c>
      <c r="V103" s="57"/>
      <c r="W103" s="102"/>
      <c r="X103" s="103" t="str">
        <f>IF(OR(W101&lt;3,W100&lt;2),"TIRAGE AU SORT !!!"," ")</f>
        <v>TIRAGE AU SORT !!!</v>
      </c>
      <c r="Y103" s="102"/>
      <c r="Z103" s="102"/>
      <c r="AA103" s="102"/>
      <c r="AB103" s="102"/>
      <c r="AC103" s="57"/>
      <c r="AD103" s="57"/>
      <c r="AE103" s="49" t="str">
        <f t="shared" si="108"/>
        <v>Jordan</v>
      </c>
      <c r="AF103" s="49" t="str">
        <f t="shared" si="109"/>
        <v>Argentina</v>
      </c>
      <c r="AG103" s="75">
        <f>_xlfn.XLOOKUP(AE103,'FIFA rankings'!$B:$B,'FIFA rankings'!$D:$D)</f>
        <v>1391.45</v>
      </c>
      <c r="AH103" s="75">
        <f>_xlfn.XLOOKUP(AF103,'FIFA rankings'!$B:$B,'FIFA rankings'!$D:$D)</f>
        <v>1874.81</v>
      </c>
      <c r="AI103" s="76">
        <f t="shared" si="110"/>
        <v>-483.3599999999999</v>
      </c>
      <c r="AJ103" s="75"/>
      <c r="AK103" s="77">
        <f t="shared" si="111"/>
        <v>0.87758921073446816</v>
      </c>
      <c r="AL103" s="77">
        <f t="shared" si="112"/>
        <v>2.2333911766755254</v>
      </c>
      <c r="AM103" s="75"/>
      <c r="AN103" s="78" cm="1">
        <f t="array" ref="AN103">1/SUMPRODUCT(_xlfn.POISSON.DIST(ROW($1:$8)-1,$AK103,FALSE)*_xlfn.POISSON.DIST(TRANSPOSE(ROW($1:$8)-1),$AL103,FALSE)*((ROW($1:$8)-1)&gt;(TRANSPOSE(ROW($1:$8)-1))))</f>
        <v>7.4829528316526686</v>
      </c>
      <c r="AO103" s="78" cm="1">
        <f t="array" ref="AO103">1/SUMPRODUCT(_xlfn.POISSON.DIST(ROW($1:$8)-1,$AK103,FALSE)*_xlfn.POISSON.DIST(TRANSPOSE(ROW($1:$8)-1),$AL103,FALSE)*((ROW($1:$8)-1)=(TRANSPOSE(ROW($1:$8)-1))))</f>
        <v>5.3984676659552591</v>
      </c>
      <c r="AP103" s="78" cm="1">
        <f t="array" ref="AP103">1/SUMPRODUCT(_xlfn.POISSON.DIST(ROW($1:$8)-1,$AK103,FALSE)*_xlfn.POISSON.DIST(TRANSPOSE(ROW($1:$8)-1),$AL103,FALSE)*((ROW($1:$8)-1)&lt;(TRANSPOSE(ROW($1:$8)-1))))</f>
        <v>1.4728544716691863</v>
      </c>
      <c r="AQ103" s="75"/>
      <c r="AR103" s="78"/>
      <c r="AS103" s="79">
        <f t="shared" si="119"/>
        <v>2.1714615196136711E-3</v>
      </c>
    </row>
    <row r="104" spans="1:93" ht="14.25" customHeight="1" x14ac:dyDescent="0.2">
      <c r="A104" s="49">
        <f t="shared" si="113"/>
        <v>1</v>
      </c>
      <c r="C104" s="49">
        <v>70</v>
      </c>
      <c r="E104" s="49" t="s">
        <v>11</v>
      </c>
      <c r="F104" s="49" t="s">
        <v>149</v>
      </c>
      <c r="G104" s="11" t="str">
        <f t="shared" si="114"/>
        <v>Algeria</v>
      </c>
      <c r="H104" s="11">
        <f t="shared" si="115"/>
        <v>2.8109922073936358</v>
      </c>
      <c r="I104" s="11"/>
      <c r="J104" s="11" t="s">
        <v>35</v>
      </c>
      <c r="K104" s="11">
        <f t="shared" si="116"/>
        <v>3.960017970007577</v>
      </c>
      <c r="L104" s="11"/>
      <c r="M104" s="11" t="str">
        <f t="shared" si="117"/>
        <v>Austria</v>
      </c>
      <c r="N104" s="11">
        <f t="shared" si="118"/>
        <v>2.5541953310102827</v>
      </c>
      <c r="O104" s="57"/>
      <c r="P104" s="89">
        <v>46201</v>
      </c>
      <c r="Q104" s="90">
        <v>0.16666666666666666</v>
      </c>
      <c r="R104" s="225" t="str">
        <f>U99</f>
        <v>Algeria</v>
      </c>
      <c r="S104" s="21"/>
      <c r="T104" s="21"/>
      <c r="U104" s="227" t="str">
        <f>R100</f>
        <v>Austria</v>
      </c>
      <c r="V104" s="57"/>
      <c r="Y104" s="51"/>
      <c r="Z104" s="51"/>
      <c r="AA104" s="51"/>
      <c r="AB104" s="51"/>
      <c r="AC104" s="57"/>
      <c r="AD104" s="57"/>
      <c r="AE104" s="49" t="str">
        <f t="shared" si="108"/>
        <v>Algeria</v>
      </c>
      <c r="AF104" s="49" t="str">
        <f t="shared" si="109"/>
        <v>Austria</v>
      </c>
      <c r="AG104" s="75">
        <f>_xlfn.XLOOKUP(AE104,'FIFA rankings'!$B:$B,'FIFA rankings'!$D:$D)</f>
        <v>1564.26</v>
      </c>
      <c r="AH104" s="75">
        <f>_xlfn.XLOOKUP(AF104,'FIFA rankings'!$B:$B,'FIFA rankings'!$D:$D)</f>
        <v>1593.45</v>
      </c>
      <c r="AI104" s="76">
        <f t="shared" si="110"/>
        <v>-29.190000000000055</v>
      </c>
      <c r="AJ104" s="75"/>
      <c r="AK104" s="77">
        <f t="shared" si="111"/>
        <v>1.3610646987258821</v>
      </c>
      <c r="AL104" s="77">
        <f t="shared" si="112"/>
        <v>1.4400491040835841</v>
      </c>
      <c r="AM104" s="75"/>
      <c r="AN104" s="78" cm="1">
        <f t="array" ref="AN104">1/SUMPRODUCT(_xlfn.POISSON.DIST(ROW($1:$8)-1,$AK104,FALSE)*_xlfn.POISSON.DIST(TRANSPOSE(ROW($1:$8)-1),$AL104,FALSE)*((ROW($1:$8)-1)&gt;(TRANSPOSE(ROW($1:$8)-1))))</f>
        <v>2.8109922073936358</v>
      </c>
      <c r="AO104" s="78" cm="1">
        <f t="array" ref="AO104">1/SUMPRODUCT(_xlfn.POISSON.DIST(ROW($1:$8)-1,$AK104,FALSE)*_xlfn.POISSON.DIST(TRANSPOSE(ROW($1:$8)-1),$AL104,FALSE)*((ROW($1:$8)-1)=(TRANSPOSE(ROW($1:$8)-1))))</f>
        <v>3.960017970007577</v>
      </c>
      <c r="AP104" s="78" cm="1">
        <f t="array" ref="AP104">1/SUMPRODUCT(_xlfn.POISSON.DIST(ROW($1:$8)-1,$AK104,FALSE)*_xlfn.POISSON.DIST(TRANSPOSE(ROW($1:$8)-1),$AL104,FALSE)*((ROW($1:$8)-1)&lt;(TRANSPOSE(ROW($1:$8)-1))))</f>
        <v>2.5541953310102827</v>
      </c>
      <c r="AQ104" s="75"/>
      <c r="AR104" s="78"/>
      <c r="AS104" s="79">
        <f t="shared" si="119"/>
        <v>2.1688573949385503E-4</v>
      </c>
    </row>
    <row r="105" spans="1:93" ht="14.25" customHeight="1" x14ac:dyDescent="0.2">
      <c r="F105" s="49"/>
      <c r="G105" s="11"/>
      <c r="H105" s="11"/>
      <c r="I105" s="11"/>
      <c r="J105" s="11"/>
      <c r="K105" s="11"/>
      <c r="L105" s="11"/>
      <c r="M105" s="11"/>
      <c r="N105" s="11"/>
      <c r="O105" s="57"/>
      <c r="P105" s="202"/>
      <c r="Q105" s="203"/>
      <c r="R105" s="49"/>
      <c r="S105" s="51"/>
      <c r="T105" s="51"/>
      <c r="U105" s="52"/>
      <c r="V105" s="57"/>
      <c r="Y105" s="51"/>
      <c r="Z105" s="51"/>
      <c r="AA105" s="51"/>
      <c r="AB105" s="51"/>
      <c r="AC105" s="57"/>
      <c r="AD105" s="57"/>
    </row>
    <row r="106" spans="1:93" ht="14.25" customHeight="1" x14ac:dyDescent="0.2">
      <c r="F106" s="49" t="s">
        <v>158</v>
      </c>
      <c r="G106" s="228" t="str">
        <f>$F106 &amp; " / Odds"</f>
        <v>Group K / Odds</v>
      </c>
      <c r="H106" s="228"/>
      <c r="I106" s="228"/>
      <c r="J106" s="228"/>
      <c r="K106" s="228"/>
      <c r="L106" s="228"/>
      <c r="M106" s="228"/>
      <c r="N106" s="228"/>
      <c r="O106" s="57"/>
      <c r="P106" s="228" t="str">
        <f>$F106 &amp; " / Results"</f>
        <v>Group K / Results</v>
      </c>
      <c r="Q106" s="229"/>
      <c r="R106" s="230"/>
      <c r="S106" s="230"/>
      <c r="T106" s="230"/>
      <c r="U106" s="230"/>
      <c r="V106" s="57"/>
      <c r="W106" s="231"/>
      <c r="X106" s="232" t="str">
        <f>X98</f>
        <v>Ranking</v>
      </c>
      <c r="Y106" s="233" t="s">
        <v>24</v>
      </c>
      <c r="Z106" s="233" t="s">
        <v>25</v>
      </c>
      <c r="AA106" s="233" t="s">
        <v>26</v>
      </c>
      <c r="AB106" s="233" t="str">
        <f>"+/-"</f>
        <v>+/-</v>
      </c>
      <c r="AC106" s="57"/>
      <c r="AD106" s="57"/>
      <c r="BD106" s="63" t="s">
        <v>37</v>
      </c>
      <c r="BE106" s="64" t="s">
        <v>38</v>
      </c>
      <c r="BF106" s="65" t="s">
        <v>24</v>
      </c>
      <c r="BG106" s="66" t="s">
        <v>25</v>
      </c>
      <c r="BH106" s="65" t="s">
        <v>26</v>
      </c>
      <c r="BI106" s="67" t="s">
        <v>39</v>
      </c>
      <c r="BJ106" s="65" t="s">
        <v>40</v>
      </c>
      <c r="BK106" s="65" t="s">
        <v>41</v>
      </c>
      <c r="BL106" s="65" t="s">
        <v>42</v>
      </c>
      <c r="BM106" s="65" t="s">
        <v>43</v>
      </c>
      <c r="BN106" s="66" t="s">
        <v>44</v>
      </c>
      <c r="BO106" s="65" t="s">
        <v>45</v>
      </c>
      <c r="BP106" s="65" t="s">
        <v>46</v>
      </c>
      <c r="BQ106" s="67" t="s">
        <v>47</v>
      </c>
      <c r="BR106" s="66" t="s">
        <v>48</v>
      </c>
      <c r="BS106" s="65" t="s">
        <v>49</v>
      </c>
      <c r="BT106" s="65" t="s">
        <v>50</v>
      </c>
      <c r="BU106" s="67" t="s">
        <v>51</v>
      </c>
      <c r="BV106" s="66" t="s">
        <v>52</v>
      </c>
      <c r="BW106" s="65" t="s">
        <v>53</v>
      </c>
      <c r="BX106" s="65" t="s">
        <v>54</v>
      </c>
      <c r="BY106" s="67" t="s">
        <v>55</v>
      </c>
      <c r="BZ106" s="66" t="s">
        <v>56</v>
      </c>
      <c r="CA106" s="65" t="s">
        <v>48</v>
      </c>
      <c r="CB106" s="65" t="s">
        <v>49</v>
      </c>
      <c r="CC106" s="65" t="s">
        <v>50</v>
      </c>
      <c r="CD106" s="65" t="s">
        <v>51</v>
      </c>
      <c r="CE106" s="65" t="s">
        <v>57</v>
      </c>
      <c r="CF106" s="65" t="s">
        <v>58</v>
      </c>
      <c r="CG106" s="65" t="s">
        <v>59</v>
      </c>
      <c r="CH106" s="65" t="s">
        <v>60</v>
      </c>
      <c r="CI106" s="65" t="s">
        <v>61</v>
      </c>
      <c r="CJ106" s="65" t="s">
        <v>62</v>
      </c>
      <c r="CK106" s="65" t="s">
        <v>63</v>
      </c>
      <c r="CL106" s="66" t="s">
        <v>64</v>
      </c>
      <c r="CM106" s="65" t="s">
        <v>65</v>
      </c>
      <c r="CN106" s="65" t="s">
        <v>66</v>
      </c>
      <c r="CO106" s="67" t="s">
        <v>67</v>
      </c>
    </row>
    <row r="107" spans="1:93" ht="14.25" customHeight="1" x14ac:dyDescent="0.2">
      <c r="A107" s="49">
        <f>IF(OR(ISBLANK(S107),ISBLANK(T107)),1,0)</f>
        <v>1</v>
      </c>
      <c r="C107" s="49">
        <v>23</v>
      </c>
      <c r="D107" s="49" t="s">
        <v>159</v>
      </c>
      <c r="E107" s="49" t="s">
        <v>11</v>
      </c>
      <c r="F107" s="49" t="s">
        <v>158</v>
      </c>
      <c r="G107" s="11" t="str">
        <f>R107</f>
        <v>Portugal</v>
      </c>
      <c r="H107" s="11">
        <f>AN107</f>
        <v>1.7983681493503885</v>
      </c>
      <c r="I107" s="11"/>
      <c r="J107" s="11" t="s">
        <v>35</v>
      </c>
      <c r="K107" s="11">
        <f>AO107</f>
        <v>4.4032358865775949</v>
      </c>
      <c r="L107" s="11"/>
      <c r="M107" s="11" t="str">
        <f>U107</f>
        <v>Congo DR</v>
      </c>
      <c r="N107" s="11">
        <f>AP107</f>
        <v>4.6261685077110029</v>
      </c>
      <c r="O107" s="57"/>
      <c r="P107" s="68">
        <v>46190</v>
      </c>
      <c r="Q107" s="69">
        <v>0.79166666666666663</v>
      </c>
      <c r="R107" s="234" t="s">
        <v>160</v>
      </c>
      <c r="S107" s="22"/>
      <c r="T107" s="22"/>
      <c r="U107" s="235" t="s">
        <v>161</v>
      </c>
      <c r="V107" s="57"/>
      <c r="W107" s="236">
        <f>BA107</f>
        <v>1</v>
      </c>
      <c r="X107" s="237" t="str">
        <f>INDEX(BE107:BE110,MATCH(BC107,$BD107:$BD110,0))</f>
        <v>Portugal</v>
      </c>
      <c r="Y107" s="238">
        <f>INDEX(BF107:BF110,MATCH(BC107,$BD107:$BD110,0))</f>
        <v>0</v>
      </c>
      <c r="Z107" s="238">
        <f>INDEX(BG107:BG110,MATCH(BC107,$BD107:$BD110,0))</f>
        <v>0</v>
      </c>
      <c r="AA107" s="238">
        <f>INDEX(BH107:BH110,MATCH(BC107,$BD107:$BD110,0))</f>
        <v>0</v>
      </c>
      <c r="AB107" s="238">
        <f>INDEX(BI107:BI110,MATCH(BC107,$BD107:$BD110,0))</f>
        <v>0</v>
      </c>
      <c r="AC107" s="57"/>
      <c r="AD107" s="57"/>
      <c r="AE107" s="49" t="str">
        <f t="shared" ref="AE107:AE112" si="120">R107</f>
        <v>Portugal</v>
      </c>
      <c r="AF107" s="49" t="str">
        <f t="shared" ref="AF107:AF112" si="121">U107</f>
        <v>Congo DR</v>
      </c>
      <c r="AG107" s="75">
        <f>_xlfn.XLOOKUP(AE107,'FIFA rankings'!$B:$B,'FIFA rankings'!$D:$D)</f>
        <v>1763.83</v>
      </c>
      <c r="AH107" s="75">
        <f>_xlfn.XLOOKUP(AF107,'FIFA rankings'!$B:$B,'FIFA rankings'!$D:$D)</f>
        <v>1478.35</v>
      </c>
      <c r="AI107" s="76">
        <f t="shared" ref="AI107:AI112" si="122">IFERROR(AG107-AH107,"n.a.")</f>
        <v>285.48</v>
      </c>
      <c r="AJ107" s="75"/>
      <c r="AK107" s="77">
        <f t="shared" ref="AK107:AK112" si="123">IFERROR($AI$7*POWER(10,$AI107/$AI$6),"n.a.")</f>
        <v>1.8447036577676099</v>
      </c>
      <c r="AL107" s="77">
        <f t="shared" ref="AL107:AL112" si="124">IFERROR($AI$7*POWER(10,-$AI107/$AI$6),"n.a.")</f>
        <v>1.0625012813016901</v>
      </c>
      <c r="AM107" s="75"/>
      <c r="AN107" s="78" cm="1">
        <f t="array" ref="AN107">1/SUMPRODUCT(_xlfn.POISSON.DIST(ROW($1:$8)-1,$AK107,FALSE)*_xlfn.POISSON.DIST(TRANSPOSE(ROW($1:$8)-1),$AL107,FALSE)*((ROW($1:$8)-1)&gt;(TRANSPOSE(ROW($1:$8)-1))))</f>
        <v>1.7983681493503885</v>
      </c>
      <c r="AO107" s="78" cm="1">
        <f t="array" ref="AO107">1/SUMPRODUCT(_xlfn.POISSON.DIST(ROW($1:$8)-1,$AK107,FALSE)*_xlfn.POISSON.DIST(TRANSPOSE(ROW($1:$8)-1),$AL107,FALSE)*((ROW($1:$8)-1)=(TRANSPOSE(ROW($1:$8)-1))))</f>
        <v>4.4032358865775949</v>
      </c>
      <c r="AP107" s="78" cm="1">
        <f t="array" ref="AP107">1/SUMPRODUCT(_xlfn.POISSON.DIST(ROW($1:$8)-1,$AK107,FALSE)*_xlfn.POISSON.DIST(TRANSPOSE(ROW($1:$8)-1),$AL107,FALSE)*((ROW($1:$8)-1)&lt;(TRANSPOSE(ROW($1:$8)-1))))</f>
        <v>4.6261685077110029</v>
      </c>
      <c r="AQ107" s="75"/>
      <c r="AR107" s="78"/>
      <c r="AS107" s="79">
        <f>1-SUM(1/AN107,1/AO107,1/AP107)</f>
        <v>6.7301969312472121E-4</v>
      </c>
      <c r="BA107" s="80">
        <v>1</v>
      </c>
      <c r="BB107" s="80">
        <f>ROUND(BC107,0)</f>
        <v>2</v>
      </c>
      <c r="BC107" s="81">
        <f>MIN(BD107:BD110)</f>
        <v>2.4500000000000002</v>
      </c>
      <c r="BD107" s="82">
        <f>SUM(BV107:BY107)+2.45</f>
        <v>2.4500000000000002</v>
      </c>
      <c r="BE107" s="83" t="str">
        <f>R107</f>
        <v>Portugal</v>
      </c>
      <c r="BF107" s="51">
        <f>SUM(BJ107:BM107)</f>
        <v>0</v>
      </c>
      <c r="BG107" s="84">
        <f>S107+S109+T111</f>
        <v>0</v>
      </c>
      <c r="BH107" s="51">
        <f>T107+T109+S111</f>
        <v>0</v>
      </c>
      <c r="BI107" s="85">
        <f>BG107-BH107</f>
        <v>0</v>
      </c>
      <c r="BJ107" s="51" t="s">
        <v>71</v>
      </c>
      <c r="BK107" s="51">
        <f>IF(ISBLANK(S107),0,IF(S107&gt;T107,3,IF(S107=T107,1,0)))</f>
        <v>0</v>
      </c>
      <c r="BL107" s="51">
        <f>IF(ISBLANK(S109),0,IF(S109&gt;T109,3,IF(S109=T109,1,0)))</f>
        <v>0</v>
      </c>
      <c r="BM107" s="51">
        <f>IF(ISBLANK(T111),0,IF(T111&gt;S111,3,IF(T111=S111,1,0)))</f>
        <v>0</v>
      </c>
      <c r="BN107" s="84" t="s">
        <v>71</v>
      </c>
      <c r="BO107" s="51" t="b">
        <f>(10*(BI107-BI108)+BG107-BG108&gt;0)</f>
        <v>0</v>
      </c>
      <c r="BP107" s="51" t="b">
        <f>10*(BI107-BI109)+BG107-BG109&gt;0</f>
        <v>0</v>
      </c>
      <c r="BQ107" s="85" t="b">
        <f>10*(BI107-BI110)+BG107-BG110&gt;0</f>
        <v>0</v>
      </c>
      <c r="BR107" s="84">
        <f>10000*(BK107+BL107)+(S109-T109+S107-T107)*100+(S109+S107)</f>
        <v>0</v>
      </c>
      <c r="BS107" s="51">
        <f>10000*(BK107+BM107)+(S107-T107+T111-S111)*100+(S107+T111)</f>
        <v>0</v>
      </c>
      <c r="BT107" s="51">
        <f>10000*(BL107+BM107)+(T111-S111+S109-T109)*100+(T111+S109)</f>
        <v>0</v>
      </c>
      <c r="BU107" s="85" t="s">
        <v>71</v>
      </c>
      <c r="BV107" s="84" t="s">
        <v>71</v>
      </c>
      <c r="BW107" s="86">
        <f>IF($BF107&gt;$BF108,-0.5,IF($BF108&gt;$BF107,0.5,IF(BO107,-0.5,IF(BN108,0.5,CM107))))</f>
        <v>0</v>
      </c>
      <c r="BX107" s="86">
        <f>IF($BF107&gt;$BF109,-0.5,IF($BF109&gt;$BF107,0.5,IF(BP107,-0.5,IF(BN109,0.5,CN107))))</f>
        <v>0</v>
      </c>
      <c r="BY107" s="87">
        <f>IF($BF107&gt;$BF110,-0.5,IF($BF110&gt;$BF107,0.5,IF(BQ107,-0.5,IF(BN110,0.5,CO107))))</f>
        <v>0</v>
      </c>
      <c r="BZ107" s="88" t="b">
        <f>AND(AND(BF107=BF108,BF108=BF109,BF109=BF110),AND(BG107=BG108,BG108=BG109,BG109=BG110),AND(BH107=BH108,BH108=BH109,BH109=BH110))</f>
        <v>1</v>
      </c>
      <c r="CA107" s="88" t="b">
        <f>AND(NOT(BZ107),BF107=BF108,BF107=BF109,BG107=BG108,BG107=BG109,BH107=BH108,BH107=BH109)</f>
        <v>0</v>
      </c>
      <c r="CB107" s="88" t="b">
        <f>AND(NOT(BZ107),BF107=BF108,BF107=BF110,BG107=BG108,BG107=BG110,BH107=BH108,BH107=BH110)</f>
        <v>0</v>
      </c>
      <c r="CC107" s="88" t="b">
        <f>AND(NOT(BZ107),BF107=BF109,BF107=BF110,BG107=BG109,BG107=BG110,BH107=BH109,BH107=BH110)</f>
        <v>0</v>
      </c>
      <c r="CD107" s="88" t="b">
        <f>AND(NOT(BZ107),BF108=BF109,BF108=BF110,BG108=BG109,BG108=BG110,BH108=BH109,BH108=BH110)</f>
        <v>0</v>
      </c>
      <c r="CE107" s="88" t="b">
        <f>AND(NOT(BZ107),NOT(CA107),NOT(CB107),BF107=BF108,BG107=BG108,BH107=BH108)</f>
        <v>0</v>
      </c>
      <c r="CF107" s="88" t="b">
        <f>AND(NOT(BZ107),NOT(CA107),NOT(CC107),BF107=BF109,BG107=BG109,BH107=BH109)</f>
        <v>0</v>
      </c>
      <c r="CG107" s="88" t="b">
        <f>AND(NOT(BZ107),NOT(CB107),NOT(CC107),BF107=BF110,BG107=BG110,BH107=BH110)</f>
        <v>0</v>
      </c>
      <c r="CH107" s="88" t="b">
        <f>AND(NOT(BZ107),NOT(CA107),NOT(CD107),BF108=BF109,BG108=BG109)</f>
        <v>0</v>
      </c>
      <c r="CI107" s="88" t="b">
        <f>AND(NOT(BZ107),NOT(CB107),NOT(CD107),BF108=BF110,BG108=BG110,BH108=BH110)</f>
        <v>0</v>
      </c>
      <c r="CJ107" s="88" t="b">
        <f>AND(NOT(BZ107),NOT(CC107),NOT(CD107),BF109=BF110,BG109=BG110,BH109=BH110)</f>
        <v>0</v>
      </c>
      <c r="CK107" s="88" t="b">
        <f t="array" ref="CK107">AND(NOT(BZ107:CJ107))</f>
        <v>0</v>
      </c>
      <c r="CL107" s="84" t="s">
        <v>71</v>
      </c>
      <c r="CM107" s="51">
        <f>IF($CE107,IF(T107-S107&lt;0,-0.5,IF(S107-T107&lt;0,0.5,0)),IF($CA107,IF($BR107&gt;$BR108,-0.5,IF($BR107&lt;$BR108,0.5,0)),IF($CB107,IF($BS107&gt;$BS108,-0.5, IF($BS107&lt;$BS108,0.5,0)),0)))</f>
        <v>0</v>
      </c>
      <c r="CN107" s="51">
        <f>IF($CF107,IF(T109-S109&lt;0,-0.5,IF(S109-T109&lt;0,0.5,0)),IF($CA107,IF($BR107&gt;$BR109,-0.5,IF($BR107&lt;$BR109,0.5,0)),IF($CC107,IF($BT107&gt;$BT109,-0.5,IF($BT107&lt;$BT109,0.5,0)),0)))</f>
        <v>0</v>
      </c>
      <c r="CO107" s="85">
        <f>IF($CG107,IF(S111-T111&lt;0,-0.5,IF(T111-S111&lt;0,0.5,0)),IF($CB107,IF($BS107&gt;$BS110,-0.5,IF($BS107&lt;$BS110,0.5,0)),IF($CC107,IF($BT107&gt;$BT110,-0.5, IF($BT107&lt;$BT110,0.5,0)),0)))</f>
        <v>0</v>
      </c>
    </row>
    <row r="108" spans="1:93" ht="14.25" customHeight="1" x14ac:dyDescent="0.2">
      <c r="A108" s="49">
        <f t="shared" ref="A108:A112" si="125">IF(OR(ISBLANK(S108),ISBLANK(T108)),1,0)</f>
        <v>1</v>
      </c>
      <c r="C108" s="49">
        <v>24</v>
      </c>
      <c r="D108" s="49" t="s">
        <v>162</v>
      </c>
      <c r="E108" s="49" t="s">
        <v>11</v>
      </c>
      <c r="F108" s="49" t="s">
        <v>158</v>
      </c>
      <c r="G108" s="11" t="str">
        <f t="shared" ref="G108:G112" si="126">R108</f>
        <v>Uzbekistan</v>
      </c>
      <c r="H108" s="11">
        <f t="shared" ref="H108:H112" si="127">AN108</f>
        <v>4.0873544429635036</v>
      </c>
      <c r="I108" s="11"/>
      <c r="J108" s="11" t="s">
        <v>35</v>
      </c>
      <c r="K108" s="11">
        <f t="shared" ref="K108:K112" si="128">AO108</f>
        <v>4.2342599765869915</v>
      </c>
      <c r="L108" s="11"/>
      <c r="M108" s="11" t="str">
        <f t="shared" ref="M108:M112" si="129">U108</f>
        <v>Colombia</v>
      </c>
      <c r="N108" s="11">
        <f t="shared" ref="N108:N112" si="130">AP108</f>
        <v>1.9279264502333575</v>
      </c>
      <c r="O108" s="57"/>
      <c r="P108" s="89">
        <v>46191</v>
      </c>
      <c r="Q108" s="90">
        <v>0.16666666666666666</v>
      </c>
      <c r="R108" s="237" t="s">
        <v>163</v>
      </c>
      <c r="S108" s="22"/>
      <c r="T108" s="22"/>
      <c r="U108" s="239" t="s">
        <v>164</v>
      </c>
      <c r="V108" s="57"/>
      <c r="W108" s="236">
        <f>BA108</f>
        <v>1</v>
      </c>
      <c r="X108" s="237" t="str">
        <f>INDEX(BE107:BE110,MATCH(BC108,$BD107:$BD110,0))</f>
        <v>Congo DR</v>
      </c>
      <c r="Y108" s="238">
        <f>INDEX(BF107:BF110,MATCH(BC108,$BD107:$BD110,0))</f>
        <v>0</v>
      </c>
      <c r="Z108" s="238">
        <f>INDEX(BG107:BG110,MATCH(BC108,$BD107:$BD110,0))</f>
        <v>0</v>
      </c>
      <c r="AA108" s="238">
        <f>INDEX(BH107:BH110,MATCH(BC108,$BD107:$BD110,0))</f>
        <v>0</v>
      </c>
      <c r="AB108" s="238">
        <f>INDEX(BI107:BI110,MATCH(BC108,$BD107:$BD110,0))</f>
        <v>0</v>
      </c>
      <c r="AC108" s="57"/>
      <c r="AD108" s="57"/>
      <c r="AE108" s="49" t="str">
        <f t="shared" si="120"/>
        <v>Uzbekistan</v>
      </c>
      <c r="AF108" s="49" t="str">
        <f t="shared" si="121"/>
        <v>Colombia</v>
      </c>
      <c r="AG108" s="75">
        <f>_xlfn.XLOOKUP(AE108,'FIFA rankings'!$B:$B,'FIFA rankings'!$D:$D)</f>
        <v>1465.34</v>
      </c>
      <c r="AH108" s="75">
        <f>_xlfn.XLOOKUP(AF108,'FIFA rankings'!$B:$B,'FIFA rankings'!$D:$D)</f>
        <v>1693.09</v>
      </c>
      <c r="AI108" s="76">
        <f t="shared" si="122"/>
        <v>-227.75</v>
      </c>
      <c r="AJ108" s="75"/>
      <c r="AK108" s="77">
        <f t="shared" si="123"/>
        <v>1.1234538277908994</v>
      </c>
      <c r="AL108" s="77">
        <f t="shared" si="124"/>
        <v>1.7446199848319899</v>
      </c>
      <c r="AM108" s="75"/>
      <c r="AN108" s="78" cm="1">
        <f t="array" ref="AN108">1/SUMPRODUCT(_xlfn.POISSON.DIST(ROW($1:$8)-1,$AK108,FALSE)*_xlfn.POISSON.DIST(TRANSPOSE(ROW($1:$8)-1),$AL108,FALSE)*((ROW($1:$8)-1)&gt;(TRANSPOSE(ROW($1:$8)-1))))</f>
        <v>4.0873544429635036</v>
      </c>
      <c r="AO108" s="78" cm="1">
        <f t="array" ref="AO108">1/SUMPRODUCT(_xlfn.POISSON.DIST(ROW($1:$8)-1,$AK108,FALSE)*_xlfn.POISSON.DIST(TRANSPOSE(ROW($1:$8)-1),$AL108,FALSE)*((ROW($1:$8)-1)=(TRANSPOSE(ROW($1:$8)-1))))</f>
        <v>4.2342599765869915</v>
      </c>
      <c r="AP108" s="78" cm="1">
        <f t="array" ref="AP108">1/SUMPRODUCT(_xlfn.POISSON.DIST(ROW($1:$8)-1,$AK108,FALSE)*_xlfn.POISSON.DIST(TRANSPOSE(ROW($1:$8)-1),$AL108,FALSE)*((ROW($1:$8)-1)&lt;(TRANSPOSE(ROW($1:$8)-1))))</f>
        <v>1.9279264502333575</v>
      </c>
      <c r="AQ108" s="75"/>
      <c r="AR108" s="78"/>
      <c r="AS108" s="79">
        <f t="shared" ref="AS108:AS112" si="131">1-SUM(1/AN108,1/AO108,1/AP108)</f>
        <v>4.8220634538098661E-4</v>
      </c>
      <c r="BA108" s="80">
        <f>IF(ROUND(BC108,0)=ROUND(BC107,0),BA107,2)</f>
        <v>1</v>
      </c>
      <c r="BB108" s="80">
        <f>ROUND(BC108,0)</f>
        <v>2</v>
      </c>
      <c r="BC108" s="81">
        <f>MAX(MIN(BD107:BD109),MIN(BD107,BD108,BD110),MIN(BD107,BD109,BD110),MIN(BD108:BD110))</f>
        <v>2.46</v>
      </c>
      <c r="BD108" s="92">
        <f>SUM(BV108:BY108)+2.46</f>
        <v>2.46</v>
      </c>
      <c r="BE108" s="83" t="str">
        <f>U107</f>
        <v>Congo DR</v>
      </c>
      <c r="BF108" s="51">
        <f>SUM(BJ108:BM108)</f>
        <v>0</v>
      </c>
      <c r="BG108" s="84">
        <f>T107+T110+S112</f>
        <v>0</v>
      </c>
      <c r="BH108" s="51">
        <f>S107+S110+T112</f>
        <v>0</v>
      </c>
      <c r="BI108" s="85">
        <f>BG108-BH108</f>
        <v>0</v>
      </c>
      <c r="BJ108" s="51">
        <f>IF(ISBLANK(T107),0,IF(BK107=3,0,IF(BK107=1,1,3)))</f>
        <v>0</v>
      </c>
      <c r="BK108" s="51" t="s">
        <v>71</v>
      </c>
      <c r="BL108" s="51">
        <f>IF(ISBLANK(S112),0,IF(BK109=3,0,IF(BK109=1,1,3)))</f>
        <v>0</v>
      </c>
      <c r="BM108" s="51">
        <f>IF(ISBLANK(T110),0,IF(T110&gt;S110,3,IF(T110=S110,1,0)))</f>
        <v>0</v>
      </c>
      <c r="BN108" s="84" t="b">
        <f>(10*(BI107-BI108)+BG107-BG108&lt;0)</f>
        <v>0</v>
      </c>
      <c r="BO108" s="51" t="s">
        <v>71</v>
      </c>
      <c r="BP108" s="51" t="b">
        <f>10*(BI108-BI109)+BG108-BG109&gt;0</f>
        <v>0</v>
      </c>
      <c r="BQ108" s="85" t="b">
        <f>10*(BI108-BI110)+BG108-BG110&gt;0</f>
        <v>0</v>
      </c>
      <c r="BR108" s="84">
        <f>10000*(BJ108+BL108)+(T107-S107+S112-T112)*100+(T107+S112)</f>
        <v>0</v>
      </c>
      <c r="BS108" s="51">
        <f>10000*(BJ108+BM108)+(T107-S107+T110-S110)*100+(T107+T110)</f>
        <v>0</v>
      </c>
      <c r="BT108" s="51" t="s">
        <v>71</v>
      </c>
      <c r="BU108" s="85">
        <f>10000*(BL108+BM108)+(T110-S110+S112-T112)*100+(T110+S112)</f>
        <v>0</v>
      </c>
      <c r="BV108" s="93">
        <f>-BW107</f>
        <v>0</v>
      </c>
      <c r="BW108" s="51" t="s">
        <v>71</v>
      </c>
      <c r="BX108" s="86">
        <f>IF($BF108&gt;$BF109,-0.5,IF($BF109&gt;$BF108,0.5,IF(BP108,-0.5,IF(BO109,0.5,CN108))))</f>
        <v>0</v>
      </c>
      <c r="BY108" s="87">
        <f>IF($BF108&gt;$BF110,-0.5,IF($BF110&gt;$BF108,0.5,IF(BQ108,-0.5,IF(BO110,0.5,CO108))))</f>
        <v>0</v>
      </c>
      <c r="CL108" s="84"/>
      <c r="CM108" s="51" t="s">
        <v>71</v>
      </c>
      <c r="CN108" s="51">
        <f>IF($CH107,IF(T112-S112&lt;0,-0.5,IF(S112-T112&lt;0,0.5,0)),IF($CA107,IF($BR108&gt;$BR109,-0.5,IF($BR108&lt;$BR109,0.5,0)),IF($CD107,IF($BU108&gt;$BU109,-0.5,IF($BU108&lt;$BU109,0.5,0)),0)))</f>
        <v>0</v>
      </c>
      <c r="CO108" s="85">
        <f>IF($CI107,IF(S110-T110&lt;0,-0.5,IF(T110-S110&lt;0,0.5,0)),IF($CB107,IF($BS108&gt;$BS110,-0.5,IF($BS108&lt;$BS110,0.5,0)),IF($CD107,IF($BU108&gt;$BU110,-0.5,IF($BU108&lt;$BU110,0.5,0)),0)))</f>
        <v>0</v>
      </c>
    </row>
    <row r="109" spans="1:93" ht="14.25" customHeight="1" x14ac:dyDescent="0.2">
      <c r="A109" s="49">
        <f t="shared" si="125"/>
        <v>1</v>
      </c>
      <c r="C109" s="49">
        <v>47</v>
      </c>
      <c r="D109" s="49" t="s">
        <v>165</v>
      </c>
      <c r="E109" s="49" t="s">
        <v>11</v>
      </c>
      <c r="F109" s="49" t="s">
        <v>158</v>
      </c>
      <c r="G109" s="11" t="str">
        <f t="shared" si="126"/>
        <v>Portugal</v>
      </c>
      <c r="H109" s="11">
        <f t="shared" si="127"/>
        <v>1.7716802154504565</v>
      </c>
      <c r="I109" s="11"/>
      <c r="J109" s="11" t="s">
        <v>35</v>
      </c>
      <c r="K109" s="11">
        <f t="shared" si="128"/>
        <v>4.4477694325769201</v>
      </c>
      <c r="L109" s="11"/>
      <c r="M109" s="11" t="str">
        <f t="shared" si="129"/>
        <v>Uzbekistan</v>
      </c>
      <c r="N109" s="11">
        <f t="shared" si="130"/>
        <v>4.7617775664034676</v>
      </c>
      <c r="O109" s="57"/>
      <c r="P109" s="68">
        <v>46196</v>
      </c>
      <c r="Q109" s="69">
        <v>0.79166666666666663</v>
      </c>
      <c r="R109" s="234" t="str">
        <f>R107</f>
        <v>Portugal</v>
      </c>
      <c r="S109" s="22"/>
      <c r="T109" s="22"/>
      <c r="U109" s="235" t="str">
        <f>R108</f>
        <v>Uzbekistan</v>
      </c>
      <c r="V109" s="57"/>
      <c r="W109" s="94">
        <f>BA109</f>
        <v>1</v>
      </c>
      <c r="X109" s="57" t="str">
        <f>INDEX(BE107:BE110,MATCH(BC109,$BD107:$BD110,0))</f>
        <v>Uzbekistan</v>
      </c>
      <c r="Y109" s="95">
        <f>INDEX(BF107:BF110,MATCH(BC109,$BD107:$BD110,0))</f>
        <v>0</v>
      </c>
      <c r="Z109" s="95">
        <f>INDEX(BG107:BG110,MATCH(BC109,$BD107:$BD110,0))</f>
        <v>0</v>
      </c>
      <c r="AA109" s="95">
        <f>INDEX(BH107:BH110,MATCH(BC109,$BD107:$BD110,0))</f>
        <v>0</v>
      </c>
      <c r="AB109" s="95">
        <f>INDEX(BI107:BI110,MATCH(BC109,$BD107:$BD110,0))</f>
        <v>0</v>
      </c>
      <c r="AC109" s="57"/>
      <c r="AD109" s="57"/>
      <c r="AE109" s="49" t="str">
        <f t="shared" si="120"/>
        <v>Portugal</v>
      </c>
      <c r="AF109" s="49" t="str">
        <f t="shared" si="121"/>
        <v>Uzbekistan</v>
      </c>
      <c r="AG109" s="75">
        <f>_xlfn.XLOOKUP(AE109,'FIFA rankings'!$B:$B,'FIFA rankings'!$D:$D)</f>
        <v>1763.83</v>
      </c>
      <c r="AH109" s="75">
        <f>_xlfn.XLOOKUP(AF109,'FIFA rankings'!$B:$B,'FIFA rankings'!$D:$D)</f>
        <v>1465.34</v>
      </c>
      <c r="AI109" s="76">
        <f t="shared" si="122"/>
        <v>298.49</v>
      </c>
      <c r="AJ109" s="75"/>
      <c r="AK109" s="77">
        <f t="shared" si="123"/>
        <v>1.868039751680012</v>
      </c>
      <c r="AL109" s="77">
        <f t="shared" si="124"/>
        <v>1.049228207396167</v>
      </c>
      <c r="AM109" s="75"/>
      <c r="AN109" s="78" cm="1">
        <f t="array" ref="AN109">1/SUMPRODUCT(_xlfn.POISSON.DIST(ROW($1:$8)-1,$AK109,FALSE)*_xlfn.POISSON.DIST(TRANSPOSE(ROW($1:$8)-1),$AL109,FALSE)*((ROW($1:$8)-1)&gt;(TRANSPOSE(ROW($1:$8)-1))))</f>
        <v>1.7716802154504565</v>
      </c>
      <c r="AO109" s="78" cm="1">
        <f t="array" ref="AO109">1/SUMPRODUCT(_xlfn.POISSON.DIST(ROW($1:$8)-1,$AK109,FALSE)*_xlfn.POISSON.DIST(TRANSPOSE(ROW($1:$8)-1),$AL109,FALSE)*((ROW($1:$8)-1)=(TRANSPOSE(ROW($1:$8)-1))))</f>
        <v>4.4477694325769201</v>
      </c>
      <c r="AP109" s="78" cm="1">
        <f t="array" ref="AP109">1/SUMPRODUCT(_xlfn.POISSON.DIST(ROW($1:$8)-1,$AK109,FALSE)*_xlfn.POISSON.DIST(TRANSPOSE(ROW($1:$8)-1),$AL109,FALSE)*((ROW($1:$8)-1)&lt;(TRANSPOSE(ROW($1:$8)-1))))</f>
        <v>4.7617775664034676</v>
      </c>
      <c r="AQ109" s="75"/>
      <c r="AR109" s="78"/>
      <c r="AS109" s="79">
        <f t="shared" si="131"/>
        <v>7.2664532397126447E-4</v>
      </c>
      <c r="BA109" s="80">
        <f>IF(ROUND(BC109,0)=ROUND(BC108,0),BA108,3)</f>
        <v>1</v>
      </c>
      <c r="BB109" s="80">
        <f>ROUND(BC109,0)</f>
        <v>2</v>
      </c>
      <c r="BC109" s="81">
        <f>MIN(MAX(BD107:BD109),MAX(BD107,BD108,BD110),MAX(BD107,BD109,BD110),MAX(BD108:BD110))</f>
        <v>2.4700000000000002</v>
      </c>
      <c r="BD109" s="92">
        <f>SUM(BV109:BY109)+2.47</f>
        <v>2.4700000000000002</v>
      </c>
      <c r="BE109" s="83" t="str">
        <f>R108</f>
        <v>Uzbekistan</v>
      </c>
      <c r="BF109" s="51">
        <f>SUM(BJ109:BM109)</f>
        <v>0</v>
      </c>
      <c r="BG109" s="84">
        <f>S108+T109+T112</f>
        <v>0</v>
      </c>
      <c r="BH109" s="51">
        <f>T108+S109+S112</f>
        <v>0</v>
      </c>
      <c r="BI109" s="85">
        <f>BG109-BH109</f>
        <v>0</v>
      </c>
      <c r="BJ109" s="51">
        <f>IF(ISBLANK(T109),0,IF(BL107=3,0,IF(BL107=1,1,3)))</f>
        <v>0</v>
      </c>
      <c r="BK109" s="51">
        <f>IF(ISBLANK(T112),0,IF(T112&gt;S112,3,IF(T112=S112,1,0)))</f>
        <v>0</v>
      </c>
      <c r="BL109" s="51" t="s">
        <v>71</v>
      </c>
      <c r="BM109" s="51">
        <f>IF(ISBLANK(S108),0,IF(S108&gt;T108,3,IF(S108=T108,1,0)))</f>
        <v>0</v>
      </c>
      <c r="BN109" s="84" t="b">
        <f>10*(BI107-BI109)+BG107-BG109&lt;0</f>
        <v>0</v>
      </c>
      <c r="BO109" s="51" t="b">
        <f>10*(BI108-BI109)+BG108-BG109&lt;0</f>
        <v>0</v>
      </c>
      <c r="BP109" s="51" t="s">
        <v>71</v>
      </c>
      <c r="BQ109" s="85" t="b">
        <f>10*(BI109-BI110)+BG109-BG110&gt;0</f>
        <v>0</v>
      </c>
      <c r="BR109" s="84">
        <f>10000*(BJ109+BK109)+(T109-S109+T112-S112)*100+(T109+T112)</f>
        <v>0</v>
      </c>
      <c r="BS109" s="51" t="s">
        <v>71</v>
      </c>
      <c r="BT109" s="51">
        <f>10000*(BJ109+BM109)+(S108-T108+T109-S109)*100+(S108+T109)</f>
        <v>0</v>
      </c>
      <c r="BU109" s="85">
        <f>10000*(BK109+BM109)+(S108-T108+T112-S112)*100+(S108+T112)</f>
        <v>0</v>
      </c>
      <c r="BV109" s="93">
        <f>-BX107</f>
        <v>0</v>
      </c>
      <c r="BW109" s="86">
        <f>-BX108</f>
        <v>0</v>
      </c>
      <c r="BX109" s="86" t="s">
        <v>71</v>
      </c>
      <c r="BY109" s="87">
        <f>IF($BF109&gt;$BF110,-0.5,IF($BF110&gt;$BF109,0.5,IF(BQ109,-0.5,IF(BP110,0.5,CO109))))</f>
        <v>0</v>
      </c>
      <c r="CL109" s="84"/>
      <c r="CM109" s="51"/>
      <c r="CN109" s="51" t="s">
        <v>71</v>
      </c>
      <c r="CO109" s="85">
        <f>IF($CJ107,IF(T108-S108&lt;0,-0.5,IF(S108-T108&lt;0,0.5,0)),IF($CC107,IF($BT109&gt;$BT110,-0.5,IF($BT109&lt;$BT110,0.5,0)),IF($CD107,IF($BU109&gt;$BU110,-0.5,IF($BU109&lt;$BU110,0.5,0)),0)))</f>
        <v>0</v>
      </c>
    </row>
    <row r="110" spans="1:93" ht="14.25" customHeight="1" x14ac:dyDescent="0.2">
      <c r="A110" s="49">
        <f t="shared" si="125"/>
        <v>1</v>
      </c>
      <c r="C110" s="49">
        <v>48</v>
      </c>
      <c r="D110" s="49" t="s">
        <v>166</v>
      </c>
      <c r="E110" s="49" t="s">
        <v>11</v>
      </c>
      <c r="F110" s="49" t="s">
        <v>158</v>
      </c>
      <c r="G110" s="11" t="str">
        <f t="shared" si="126"/>
        <v>Colombia</v>
      </c>
      <c r="H110" s="11">
        <f t="shared" si="127"/>
        <v>1.9598310132635965</v>
      </c>
      <c r="I110" s="11"/>
      <c r="J110" s="11" t="s">
        <v>35</v>
      </c>
      <c r="K110" s="11">
        <f t="shared" si="128"/>
        <v>4.2022761811459972</v>
      </c>
      <c r="L110" s="11"/>
      <c r="M110" s="11" t="str">
        <f t="shared" si="129"/>
        <v>Congo DR</v>
      </c>
      <c r="N110" s="11">
        <f t="shared" si="130"/>
        <v>3.9787176402801387</v>
      </c>
      <c r="O110" s="57"/>
      <c r="P110" s="89">
        <v>46197</v>
      </c>
      <c r="Q110" s="90">
        <v>0.16666666666666666</v>
      </c>
      <c r="R110" s="237" t="str">
        <f>U108</f>
        <v>Colombia</v>
      </c>
      <c r="S110" s="22"/>
      <c r="T110" s="22"/>
      <c r="U110" s="239" t="str">
        <f>U107</f>
        <v>Congo DR</v>
      </c>
      <c r="V110" s="57"/>
      <c r="W110" s="94">
        <f>BA110</f>
        <v>1</v>
      </c>
      <c r="X110" s="57" t="str">
        <f>INDEX(BE107:BE110,MATCH(BC110,$BD107:$BD110,0))</f>
        <v>Colombia</v>
      </c>
      <c r="Y110" s="95">
        <f>INDEX(BF107:BF110,MATCH(BC110,$BD107:$BD110,0))</f>
        <v>0</v>
      </c>
      <c r="Z110" s="95">
        <f>INDEX(BG107:BG110,MATCH(BC110,$BD107:$BD110,0))</f>
        <v>0</v>
      </c>
      <c r="AA110" s="95">
        <f>INDEX(BH107:BH110,MATCH(BC110,$BD107:$BD110,0))</f>
        <v>0</v>
      </c>
      <c r="AB110" s="95">
        <f>INDEX(BI107:BI110,MATCH(BC110,$BD107:$BD110,0))</f>
        <v>0</v>
      </c>
      <c r="AC110" s="57"/>
      <c r="AD110" s="57"/>
      <c r="AE110" s="49" t="str">
        <f t="shared" si="120"/>
        <v>Colombia</v>
      </c>
      <c r="AF110" s="49" t="str">
        <f t="shared" si="121"/>
        <v>Congo DR</v>
      </c>
      <c r="AG110" s="75">
        <f>_xlfn.XLOOKUP(AE110,'FIFA rankings'!$B:$B,'FIFA rankings'!$D:$D)</f>
        <v>1693.09</v>
      </c>
      <c r="AH110" s="75">
        <f>_xlfn.XLOOKUP(AF110,'FIFA rankings'!$B:$B,'FIFA rankings'!$D:$D)</f>
        <v>1478.35</v>
      </c>
      <c r="AI110" s="76">
        <f t="shared" si="122"/>
        <v>214.74</v>
      </c>
      <c r="AJ110" s="75"/>
      <c r="AK110" s="77">
        <f t="shared" si="123"/>
        <v>1.7228256864125489</v>
      </c>
      <c r="AL110" s="77">
        <f t="shared" si="124"/>
        <v>1.1376658796406274</v>
      </c>
      <c r="AM110" s="75"/>
      <c r="AN110" s="78" cm="1">
        <f t="array" ref="AN110">1/SUMPRODUCT(_xlfn.POISSON.DIST(ROW($1:$8)-1,$AK110,FALSE)*_xlfn.POISSON.DIST(TRANSPOSE(ROW($1:$8)-1),$AL110,FALSE)*((ROW($1:$8)-1)&gt;(TRANSPOSE(ROW($1:$8)-1))))</f>
        <v>1.9598310132635965</v>
      </c>
      <c r="AO110" s="78" cm="1">
        <f t="array" ref="AO110">1/SUMPRODUCT(_xlfn.POISSON.DIST(ROW($1:$8)-1,$AK110,FALSE)*_xlfn.POISSON.DIST(TRANSPOSE(ROW($1:$8)-1),$AL110,FALSE)*((ROW($1:$8)-1)=(TRANSPOSE(ROW($1:$8)-1))))</f>
        <v>4.2022761811459972</v>
      </c>
      <c r="AP110" s="78" cm="1">
        <f t="array" ref="AP110">1/SUMPRODUCT(_xlfn.POISSON.DIST(ROW($1:$8)-1,$AK110,FALSE)*_xlfn.POISSON.DIST(TRANSPOSE(ROW($1:$8)-1),$AL110,FALSE)*((ROW($1:$8)-1)&lt;(TRANSPOSE(ROW($1:$8)-1))))</f>
        <v>3.9787176402801387</v>
      </c>
      <c r="AQ110" s="75"/>
      <c r="AR110" s="78"/>
      <c r="AS110" s="79">
        <f t="shared" si="131"/>
        <v>4.483906571246532E-4</v>
      </c>
      <c r="BA110" s="80">
        <f>IF(ROUND(BC110,0)=ROUND(BC109,0),BA109,4)</f>
        <v>1</v>
      </c>
      <c r="BB110" s="80">
        <f>ROUND(BC110,0)</f>
        <v>2</v>
      </c>
      <c r="BC110" s="81">
        <f>MAX(BD107:BD110)</f>
        <v>2.48</v>
      </c>
      <c r="BD110" s="96">
        <f>SUM(BV110:BY110)+2.48</f>
        <v>2.48</v>
      </c>
      <c r="BE110" s="97" t="str">
        <f>U108</f>
        <v>Colombia</v>
      </c>
      <c r="BF110" s="88">
        <f>SUM(BJ110:BM110)</f>
        <v>0</v>
      </c>
      <c r="BG110" s="98">
        <f>T108+S110+S111</f>
        <v>0</v>
      </c>
      <c r="BH110" s="88">
        <f>S108+T110+T111</f>
        <v>0</v>
      </c>
      <c r="BI110" s="99">
        <f>BG110-BH110</f>
        <v>0</v>
      </c>
      <c r="BJ110" s="88">
        <f>IF(ISBLANK(S111),0,IF(BM107=3,0,IF(BM107=1,1,3)))</f>
        <v>0</v>
      </c>
      <c r="BK110" s="88">
        <f>IF(ISBLANK(S110),0,IF(BM108=3,0,IF(BM108=1,1,3)))</f>
        <v>0</v>
      </c>
      <c r="BL110" s="88">
        <f>IF(ISBLANK(T108),0,IF(BM109=3,0,IF(BM109=1,1,3)))</f>
        <v>0</v>
      </c>
      <c r="BM110" s="88" t="s">
        <v>71</v>
      </c>
      <c r="BN110" s="98" t="b">
        <f>10*(BI107-BI110)+BG107-BG110&lt;0</f>
        <v>0</v>
      </c>
      <c r="BO110" s="88" t="b">
        <f>10*(BI108-BI110)+BG108-BG110&lt;0</f>
        <v>0</v>
      </c>
      <c r="BP110" s="88" t="b">
        <f>10*(BI109-BI110)+BG109-BG110&lt;0</f>
        <v>0</v>
      </c>
      <c r="BQ110" s="99" t="s">
        <v>71</v>
      </c>
      <c r="BR110" s="98" t="s">
        <v>71</v>
      </c>
      <c r="BS110" s="88">
        <f>10000*(BJ110+BK110)+(S110-T110+S111-T111)*100+(S110+S111)</f>
        <v>0</v>
      </c>
      <c r="BT110" s="88">
        <f>10000*(BJ110+BL110)+(S111-T111+T108-S108)*100+(S111+T108)</f>
        <v>0</v>
      </c>
      <c r="BU110" s="99">
        <f>10000*(BK110+BL110)+(S110-T110+T108-S108)*100+(S110+T108)</f>
        <v>0</v>
      </c>
      <c r="BV110" s="100">
        <f>-BY107</f>
        <v>0</v>
      </c>
      <c r="BW110" s="101">
        <f>-BY108</f>
        <v>0</v>
      </c>
      <c r="BX110" s="101">
        <f>-BY109</f>
        <v>0</v>
      </c>
      <c r="BY110" s="99" t="s">
        <v>71</v>
      </c>
      <c r="CL110" s="98"/>
      <c r="CM110" s="88"/>
      <c r="CN110" s="88"/>
      <c r="CO110" s="99" t="s">
        <v>71</v>
      </c>
    </row>
    <row r="111" spans="1:93" ht="14.25" customHeight="1" x14ac:dyDescent="0.2">
      <c r="A111" s="49">
        <f t="shared" si="125"/>
        <v>1</v>
      </c>
      <c r="C111" s="49">
        <v>71</v>
      </c>
      <c r="E111" s="49" t="s">
        <v>11</v>
      </c>
      <c r="F111" s="49" t="s">
        <v>158</v>
      </c>
      <c r="G111" s="11" t="str">
        <f t="shared" si="126"/>
        <v>Colombia</v>
      </c>
      <c r="H111" s="11">
        <f t="shared" si="127"/>
        <v>3.0208819643198281</v>
      </c>
      <c r="I111" s="11"/>
      <c r="J111" s="11" t="s">
        <v>35</v>
      </c>
      <c r="K111" s="11">
        <f t="shared" si="128"/>
        <v>3.9815781730265654</v>
      </c>
      <c r="L111" s="11"/>
      <c r="M111" s="11" t="str">
        <f t="shared" si="129"/>
        <v>Portugal</v>
      </c>
      <c r="N111" s="11">
        <f t="shared" si="130"/>
        <v>2.3947595183162145</v>
      </c>
      <c r="O111" s="57"/>
      <c r="P111" s="68">
        <v>46201</v>
      </c>
      <c r="Q111" s="69">
        <v>6.25E-2</v>
      </c>
      <c r="R111" s="234" t="str">
        <f>U108</f>
        <v>Colombia</v>
      </c>
      <c r="S111" s="22"/>
      <c r="T111" s="22"/>
      <c r="U111" s="235" t="str">
        <f>R107</f>
        <v>Portugal</v>
      </c>
      <c r="V111" s="57"/>
      <c r="W111" s="102"/>
      <c r="X111" s="103" t="str">
        <f>IF(OR(W109&lt;3,W108&lt;2),"TIRAGE AU SORT !!!"," ")</f>
        <v>TIRAGE AU SORT !!!</v>
      </c>
      <c r="Y111" s="102"/>
      <c r="Z111" s="102"/>
      <c r="AA111" s="102"/>
      <c r="AB111" s="102"/>
      <c r="AC111" s="57"/>
      <c r="AD111" s="57"/>
      <c r="AE111" s="49" t="str">
        <f t="shared" si="120"/>
        <v>Colombia</v>
      </c>
      <c r="AF111" s="49" t="str">
        <f t="shared" si="121"/>
        <v>Portugal</v>
      </c>
      <c r="AG111" s="75">
        <f>_xlfn.XLOOKUP(AE111,'FIFA rankings'!$B:$B,'FIFA rankings'!$D:$D)</f>
        <v>1693.09</v>
      </c>
      <c r="AH111" s="75">
        <f>_xlfn.XLOOKUP(AF111,'FIFA rankings'!$B:$B,'FIFA rankings'!$D:$D)</f>
        <v>1763.83</v>
      </c>
      <c r="AI111" s="76">
        <f t="shared" si="122"/>
        <v>-70.740000000000009</v>
      </c>
      <c r="AJ111" s="75"/>
      <c r="AK111" s="77">
        <f t="shared" si="123"/>
        <v>1.3075032137662836</v>
      </c>
      <c r="AL111" s="77">
        <f t="shared" si="124"/>
        <v>1.4990402924931931</v>
      </c>
      <c r="AM111" s="75"/>
      <c r="AN111" s="78" cm="1">
        <f t="array" ref="AN111">1/SUMPRODUCT(_xlfn.POISSON.DIST(ROW($1:$8)-1,$AK111,FALSE)*_xlfn.POISSON.DIST(TRANSPOSE(ROW($1:$8)-1),$AL111,FALSE)*((ROW($1:$8)-1)&gt;(TRANSPOSE(ROW($1:$8)-1))))</f>
        <v>3.0208819643198281</v>
      </c>
      <c r="AO111" s="78" cm="1">
        <f t="array" ref="AO111">1/SUMPRODUCT(_xlfn.POISSON.DIST(ROW($1:$8)-1,$AK111,FALSE)*_xlfn.POISSON.DIST(TRANSPOSE(ROW($1:$8)-1),$AL111,FALSE)*((ROW($1:$8)-1)=(TRANSPOSE(ROW($1:$8)-1))))</f>
        <v>3.9815781730265654</v>
      </c>
      <c r="AP111" s="78" cm="1">
        <f t="array" ref="AP111">1/SUMPRODUCT(_xlfn.POISSON.DIST(ROW($1:$8)-1,$AK111,FALSE)*_xlfn.POISSON.DIST(TRANSPOSE(ROW($1:$8)-1),$AL111,FALSE)*((ROW($1:$8)-1)&lt;(TRANSPOSE(ROW($1:$8)-1))))</f>
        <v>2.3947595183162145</v>
      </c>
      <c r="AQ111" s="75"/>
      <c r="AR111" s="78"/>
      <c r="AS111" s="79">
        <f t="shared" si="131"/>
        <v>2.3569159393865835E-4</v>
      </c>
    </row>
    <row r="112" spans="1:93" ht="14.25" customHeight="1" x14ac:dyDescent="0.2">
      <c r="A112" s="49">
        <f t="shared" si="125"/>
        <v>1</v>
      </c>
      <c r="C112" s="49">
        <v>72</v>
      </c>
      <c r="E112" s="49" t="s">
        <v>11</v>
      </c>
      <c r="F112" s="49" t="s">
        <v>158</v>
      </c>
      <c r="G112" s="11" t="str">
        <f t="shared" si="126"/>
        <v>Congo DR</v>
      </c>
      <c r="H112" s="11">
        <f t="shared" si="127"/>
        <v>2.6212952629175508</v>
      </c>
      <c r="I112" s="11"/>
      <c r="J112" s="11" t="s">
        <v>35</v>
      </c>
      <c r="K112" s="11">
        <f t="shared" si="128"/>
        <v>3.9564849982902381</v>
      </c>
      <c r="L112" s="11"/>
      <c r="M112" s="11" t="str">
        <f t="shared" si="129"/>
        <v>Uzbekistan</v>
      </c>
      <c r="N112" s="11">
        <f t="shared" si="130"/>
        <v>2.7356355234018177</v>
      </c>
      <c r="O112" s="57"/>
      <c r="P112" s="89">
        <v>46201</v>
      </c>
      <c r="Q112" s="90">
        <v>6.25E-2</v>
      </c>
      <c r="R112" s="237" t="str">
        <f>U107</f>
        <v>Congo DR</v>
      </c>
      <c r="S112" s="22"/>
      <c r="T112" s="22"/>
      <c r="U112" s="239" t="str">
        <f>R108</f>
        <v>Uzbekistan</v>
      </c>
      <c r="V112" s="57"/>
      <c r="Y112" s="51"/>
      <c r="Z112" s="51"/>
      <c r="AA112" s="51"/>
      <c r="AB112" s="51"/>
      <c r="AC112" s="57"/>
      <c r="AD112" s="57"/>
      <c r="AE112" s="49" t="str">
        <f t="shared" si="120"/>
        <v>Congo DR</v>
      </c>
      <c r="AF112" s="49" t="str">
        <f t="shared" si="121"/>
        <v>Uzbekistan</v>
      </c>
      <c r="AG112" s="75">
        <f>_xlfn.XLOOKUP(AE112,'FIFA rankings'!$B:$B,'FIFA rankings'!$D:$D)</f>
        <v>1478.35</v>
      </c>
      <c r="AH112" s="75">
        <f>_xlfn.XLOOKUP(AF112,'FIFA rankings'!$B:$B,'FIFA rankings'!$D:$D)</f>
        <v>1465.34</v>
      </c>
      <c r="AI112" s="76">
        <f t="shared" si="122"/>
        <v>13.009999999999991</v>
      </c>
      <c r="AJ112" s="75"/>
      <c r="AK112" s="77">
        <f t="shared" si="123"/>
        <v>1.4177104497732169</v>
      </c>
      <c r="AL112" s="77">
        <f t="shared" si="124"/>
        <v>1.3825107942976154</v>
      </c>
      <c r="AM112" s="75"/>
      <c r="AN112" s="78" cm="1">
        <f t="array" ref="AN112">1/SUMPRODUCT(_xlfn.POISSON.DIST(ROW($1:$8)-1,$AK112,FALSE)*_xlfn.POISSON.DIST(TRANSPOSE(ROW($1:$8)-1),$AL112,FALSE)*((ROW($1:$8)-1)&gt;(TRANSPOSE(ROW($1:$8)-1))))</f>
        <v>2.6212952629175508</v>
      </c>
      <c r="AO112" s="78" cm="1">
        <f t="array" ref="AO112">1/SUMPRODUCT(_xlfn.POISSON.DIST(ROW($1:$8)-1,$AK112,FALSE)*_xlfn.POISSON.DIST(TRANSPOSE(ROW($1:$8)-1),$AL112,FALSE)*((ROW($1:$8)-1)=(TRANSPOSE(ROW($1:$8)-1))))</f>
        <v>3.9564849982902381</v>
      </c>
      <c r="AP112" s="78" cm="1">
        <f t="array" ref="AP112">1/SUMPRODUCT(_xlfn.POISSON.DIST(ROW($1:$8)-1,$AK112,FALSE)*_xlfn.POISSON.DIST(TRANSPOSE(ROW($1:$8)-1),$AL112,FALSE)*((ROW($1:$8)-1)&lt;(TRANSPOSE(ROW($1:$8)-1))))</f>
        <v>2.7356355234018177</v>
      </c>
      <c r="AQ112" s="75"/>
      <c r="AR112" s="78"/>
      <c r="AS112" s="79">
        <f t="shared" si="131"/>
        <v>2.1383818865783333E-4</v>
      </c>
    </row>
    <row r="113" spans="1:93" ht="14.25" customHeight="1" x14ac:dyDescent="0.2">
      <c r="F113" s="49"/>
      <c r="G113" s="11"/>
      <c r="H113" s="11"/>
      <c r="I113" s="11"/>
      <c r="J113" s="11"/>
      <c r="K113" s="11"/>
      <c r="L113" s="11"/>
      <c r="M113" s="11"/>
      <c r="N113" s="11"/>
      <c r="O113" s="57"/>
      <c r="P113" s="202"/>
      <c r="Q113" s="203"/>
      <c r="R113" s="49"/>
      <c r="S113" s="51"/>
      <c r="T113" s="51"/>
      <c r="U113" s="52"/>
      <c r="V113" s="57"/>
      <c r="Y113" s="51"/>
      <c r="Z113" s="51"/>
      <c r="AA113" s="51"/>
      <c r="AB113" s="51"/>
      <c r="AC113" s="57"/>
      <c r="AD113" s="57"/>
    </row>
    <row r="114" spans="1:93" ht="14.25" customHeight="1" x14ac:dyDescent="0.2">
      <c r="F114" s="49" t="s">
        <v>167</v>
      </c>
      <c r="G114" s="240" t="str">
        <f>$F114 &amp; " / Odds"</f>
        <v>Group L / Odds</v>
      </c>
      <c r="H114" s="240"/>
      <c r="I114" s="240"/>
      <c r="J114" s="240"/>
      <c r="K114" s="240"/>
      <c r="L114" s="240"/>
      <c r="M114" s="240"/>
      <c r="N114" s="240"/>
      <c r="O114" s="57"/>
      <c r="P114" s="240" t="str">
        <f>$F114 &amp; " / Results"</f>
        <v>Group L / Results</v>
      </c>
      <c r="Q114" s="241"/>
      <c r="R114" s="242"/>
      <c r="S114" s="242"/>
      <c r="T114" s="242"/>
      <c r="U114" s="242"/>
      <c r="V114" s="57"/>
      <c r="W114" s="243"/>
      <c r="X114" s="244" t="str">
        <f>X106</f>
        <v>Ranking</v>
      </c>
      <c r="Y114" s="245" t="s">
        <v>24</v>
      </c>
      <c r="Z114" s="245" t="s">
        <v>25</v>
      </c>
      <c r="AA114" s="245" t="s">
        <v>26</v>
      </c>
      <c r="AB114" s="245" t="str">
        <f>"+/-"</f>
        <v>+/-</v>
      </c>
      <c r="AC114" s="57"/>
      <c r="AD114" s="57"/>
      <c r="BD114" s="63" t="s">
        <v>37</v>
      </c>
      <c r="BE114" s="64" t="s">
        <v>38</v>
      </c>
      <c r="BF114" s="65" t="s">
        <v>24</v>
      </c>
      <c r="BG114" s="66" t="s">
        <v>25</v>
      </c>
      <c r="BH114" s="65" t="s">
        <v>26</v>
      </c>
      <c r="BI114" s="67" t="s">
        <v>39</v>
      </c>
      <c r="BJ114" s="65" t="s">
        <v>40</v>
      </c>
      <c r="BK114" s="65" t="s">
        <v>41</v>
      </c>
      <c r="BL114" s="65" t="s">
        <v>42</v>
      </c>
      <c r="BM114" s="65" t="s">
        <v>43</v>
      </c>
      <c r="BN114" s="66" t="s">
        <v>44</v>
      </c>
      <c r="BO114" s="65" t="s">
        <v>45</v>
      </c>
      <c r="BP114" s="65" t="s">
        <v>46</v>
      </c>
      <c r="BQ114" s="67" t="s">
        <v>47</v>
      </c>
      <c r="BR114" s="66" t="s">
        <v>48</v>
      </c>
      <c r="BS114" s="65" t="s">
        <v>49</v>
      </c>
      <c r="BT114" s="65" t="s">
        <v>50</v>
      </c>
      <c r="BU114" s="67" t="s">
        <v>51</v>
      </c>
      <c r="BV114" s="66" t="s">
        <v>52</v>
      </c>
      <c r="BW114" s="65" t="s">
        <v>53</v>
      </c>
      <c r="BX114" s="65" t="s">
        <v>54</v>
      </c>
      <c r="BY114" s="67" t="s">
        <v>55</v>
      </c>
      <c r="BZ114" s="66" t="s">
        <v>56</v>
      </c>
      <c r="CA114" s="65" t="s">
        <v>48</v>
      </c>
      <c r="CB114" s="65" t="s">
        <v>49</v>
      </c>
      <c r="CC114" s="65" t="s">
        <v>50</v>
      </c>
      <c r="CD114" s="65" t="s">
        <v>51</v>
      </c>
      <c r="CE114" s="65" t="s">
        <v>57</v>
      </c>
      <c r="CF114" s="65" t="s">
        <v>58</v>
      </c>
      <c r="CG114" s="65" t="s">
        <v>59</v>
      </c>
      <c r="CH114" s="65" t="s">
        <v>60</v>
      </c>
      <c r="CI114" s="65" t="s">
        <v>61</v>
      </c>
      <c r="CJ114" s="65" t="s">
        <v>62</v>
      </c>
      <c r="CK114" s="65" t="s">
        <v>63</v>
      </c>
      <c r="CL114" s="66" t="s">
        <v>64</v>
      </c>
      <c r="CM114" s="65" t="s">
        <v>65</v>
      </c>
      <c r="CN114" s="65" t="s">
        <v>66</v>
      </c>
      <c r="CO114" s="67" t="s">
        <v>67</v>
      </c>
    </row>
    <row r="115" spans="1:93" ht="14.25" customHeight="1" x14ac:dyDescent="0.2">
      <c r="A115" s="49">
        <f>IF(OR(ISBLANK(S115),ISBLANK(T115)),1,0)</f>
        <v>1</v>
      </c>
      <c r="C115" s="49">
        <v>21</v>
      </c>
      <c r="D115" s="49" t="s">
        <v>168</v>
      </c>
      <c r="E115" s="49" t="s">
        <v>11</v>
      </c>
      <c r="F115" s="49" t="s">
        <v>167</v>
      </c>
      <c r="G115" s="11" t="str">
        <f>R115</f>
        <v>England</v>
      </c>
      <c r="H115" s="11">
        <f>AN115</f>
        <v>2.2631321654592855</v>
      </c>
      <c r="I115" s="11"/>
      <c r="J115" s="11" t="s">
        <v>35</v>
      </c>
      <c r="K115" s="11">
        <f>AO115</f>
        <v>4.0174618862266573</v>
      </c>
      <c r="L115" s="11"/>
      <c r="M115" s="11" t="str">
        <f>U115</f>
        <v>Croatia</v>
      </c>
      <c r="N115" s="11">
        <f>AP115</f>
        <v>3.236734549038804</v>
      </c>
      <c r="O115" s="57"/>
      <c r="P115" s="68">
        <v>46190</v>
      </c>
      <c r="Q115" s="69">
        <v>0.91666666666666663</v>
      </c>
      <c r="R115" s="246" t="s">
        <v>169</v>
      </c>
      <c r="S115" s="23"/>
      <c r="T115" s="23"/>
      <c r="U115" s="247" t="s">
        <v>170</v>
      </c>
      <c r="V115" s="57"/>
      <c r="W115" s="248">
        <f>BA115</f>
        <v>1</v>
      </c>
      <c r="X115" s="249" t="str">
        <f>INDEX(BE115:BE118,MATCH(BC115,$BD115:$BD118,0))</f>
        <v>England</v>
      </c>
      <c r="Y115" s="250">
        <f>INDEX(BF115:BF118,MATCH(BC115,$BD115:$BD118,0))</f>
        <v>0</v>
      </c>
      <c r="Z115" s="250">
        <f>INDEX(BG115:BG118,MATCH(BC115,$BD115:$BD118,0))</f>
        <v>0</v>
      </c>
      <c r="AA115" s="250">
        <f>INDEX(BH115:BH118,MATCH(BC115,$BD115:$BD118,0))</f>
        <v>0</v>
      </c>
      <c r="AB115" s="250">
        <f>INDEX(BI115:BI118,MATCH(BC115,$BD115:$BD118,0))</f>
        <v>0</v>
      </c>
      <c r="AC115" s="57"/>
      <c r="AD115" s="57"/>
      <c r="AE115" s="49" t="str">
        <f t="shared" ref="AE115:AE120" si="132">R115</f>
        <v>England</v>
      </c>
      <c r="AF115" s="49" t="str">
        <f t="shared" ref="AF115:AF120" si="133">U115</f>
        <v>Croatia</v>
      </c>
      <c r="AG115" s="75">
        <f>_xlfn.XLOOKUP(AE115,'FIFA rankings'!$B:$B,'FIFA rankings'!$D:$D)</f>
        <v>1825.97</v>
      </c>
      <c r="AH115" s="75">
        <f>_xlfn.XLOOKUP(AF115,'FIFA rankings'!$B:$B,'FIFA rankings'!$D:$D)</f>
        <v>1717.07</v>
      </c>
      <c r="AI115" s="76">
        <f t="shared" ref="AI115:AI120" si="134">IFERROR(AG115-AH115,"n.a.")</f>
        <v>108.90000000000009</v>
      </c>
      <c r="AJ115" s="75"/>
      <c r="AK115" s="77">
        <f t="shared" ref="AK115:AK120" si="135">IFERROR($AI$7*POWER(10,$AI115/$AI$6),"n.a.")</f>
        <v>1.5553449906783627</v>
      </c>
      <c r="AL115" s="77">
        <f t="shared" ref="AL115:AL120" si="136">IFERROR($AI$7*POWER(10,-$AI115/$AI$6),"n.a.")</f>
        <v>1.2601705806408565</v>
      </c>
      <c r="AM115" s="75"/>
      <c r="AN115" s="78" cm="1">
        <f t="array" ref="AN115">1/SUMPRODUCT(_xlfn.POISSON.DIST(ROW($1:$8)-1,$AK115,FALSE)*_xlfn.POISSON.DIST(TRANSPOSE(ROW($1:$8)-1),$AL115,FALSE)*((ROW($1:$8)-1)&gt;(TRANSPOSE(ROW($1:$8)-1))))</f>
        <v>2.2631321654592855</v>
      </c>
      <c r="AO115" s="78" cm="1">
        <f t="array" ref="AO115">1/SUMPRODUCT(_xlfn.POISSON.DIST(ROW($1:$8)-1,$AK115,FALSE)*_xlfn.POISSON.DIST(TRANSPOSE(ROW($1:$8)-1),$AL115,FALSE)*((ROW($1:$8)-1)=(TRANSPOSE(ROW($1:$8)-1))))</f>
        <v>4.0174618862266573</v>
      </c>
      <c r="AP115" s="78" cm="1">
        <f t="array" ref="AP115">1/SUMPRODUCT(_xlfn.POISSON.DIST(ROW($1:$8)-1,$AK115,FALSE)*_xlfn.POISSON.DIST(TRANSPOSE(ROW($1:$8)-1),$AL115,FALSE)*((ROW($1:$8)-1)&lt;(TRANSPOSE(ROW($1:$8)-1))))</f>
        <v>3.236734549038804</v>
      </c>
      <c r="AQ115" s="75"/>
      <c r="AR115" s="78"/>
      <c r="AS115" s="79">
        <f>1-SUM(1/AN115,1/AO115,1/AP115)</f>
        <v>2.6778012166361886E-4</v>
      </c>
      <c r="BA115" s="80">
        <v>1</v>
      </c>
      <c r="BB115" s="80">
        <f>ROUND(BC115,0)</f>
        <v>2</v>
      </c>
      <c r="BC115" s="81">
        <f>MIN(BD115:BD118)</f>
        <v>2.4500000000000002</v>
      </c>
      <c r="BD115" s="82">
        <f>SUM(BV115:BY115)+2.45</f>
        <v>2.4500000000000002</v>
      </c>
      <c r="BE115" s="83" t="str">
        <f>R115</f>
        <v>England</v>
      </c>
      <c r="BF115" s="51">
        <f>SUM(BJ115:BM115)</f>
        <v>0</v>
      </c>
      <c r="BG115" s="84">
        <f>S115+S117+T119</f>
        <v>0</v>
      </c>
      <c r="BH115" s="51">
        <f>T115+T117+S119</f>
        <v>0</v>
      </c>
      <c r="BI115" s="85">
        <f>BG115-BH115</f>
        <v>0</v>
      </c>
      <c r="BJ115" s="51" t="s">
        <v>71</v>
      </c>
      <c r="BK115" s="51">
        <f>IF(ISBLANK(S115),0,IF(S115&gt;T115,3,IF(S115=T115,1,0)))</f>
        <v>0</v>
      </c>
      <c r="BL115" s="51">
        <f>IF(ISBLANK(S117),0,IF(S117&gt;T117,3,IF(S117=T117,1,0)))</f>
        <v>0</v>
      </c>
      <c r="BM115" s="51">
        <f>IF(ISBLANK(T119),0,IF(T119&gt;S119,3,IF(T119=S119,1,0)))</f>
        <v>0</v>
      </c>
      <c r="BN115" s="84" t="s">
        <v>71</v>
      </c>
      <c r="BO115" s="51" t="b">
        <f>(10*(BI115-BI116)+BG115-BG116&gt;0)</f>
        <v>0</v>
      </c>
      <c r="BP115" s="51" t="b">
        <f>10*(BI115-BI117)+BG115-BG117&gt;0</f>
        <v>0</v>
      </c>
      <c r="BQ115" s="85" t="b">
        <f>10*(BI115-BI118)+BG115-BG118&gt;0</f>
        <v>0</v>
      </c>
      <c r="BR115" s="84">
        <f>10000*(BK115+BL115)+(S117-T117+S115-T115)*100+(S117+S115)</f>
        <v>0</v>
      </c>
      <c r="BS115" s="51">
        <f>10000*(BK115+BM115)+(S115-T115+T119-S119)*100+(S115+T119)</f>
        <v>0</v>
      </c>
      <c r="BT115" s="51">
        <f>10000*(BL115+BM115)+(T119-S119+S117-T117)*100+(T119+S117)</f>
        <v>0</v>
      </c>
      <c r="BU115" s="85" t="s">
        <v>71</v>
      </c>
      <c r="BV115" s="84" t="s">
        <v>71</v>
      </c>
      <c r="BW115" s="86">
        <f>IF($BF115&gt;$BF116,-0.5,IF($BF116&gt;$BF115,0.5,IF(BO115,-0.5,IF(BN116,0.5,CM115))))</f>
        <v>0</v>
      </c>
      <c r="BX115" s="86">
        <f>IF($BF115&gt;$BF117,-0.5,IF($BF117&gt;$BF115,0.5,IF(BP115,-0.5,IF(BN117,0.5,CN115))))</f>
        <v>0</v>
      </c>
      <c r="BY115" s="87">
        <f>IF($BF115&gt;$BF118,-0.5,IF($BF118&gt;$BF115,0.5,IF(BQ115,-0.5,IF(BN118,0.5,CO115))))</f>
        <v>0</v>
      </c>
      <c r="BZ115" s="88" t="b">
        <f>AND(AND(BF115=BF116,BF116=BF117,BF117=BF118),AND(BG115=BG116,BG116=BG117,BG117=BG118),AND(BH115=BH116,BH116=BH117,BH117=BH118))</f>
        <v>1</v>
      </c>
      <c r="CA115" s="88" t="b">
        <f>AND(NOT(BZ115),BF115=BF116,BF115=BF117,BG115=BG116,BG115=BG117,BH115=BH116,BH115=BH117)</f>
        <v>0</v>
      </c>
      <c r="CB115" s="88" t="b">
        <f>AND(NOT(BZ115),BF115=BF116,BF115=BF118,BG115=BG116,BG115=BG118,BH115=BH116,BH115=BH118)</f>
        <v>0</v>
      </c>
      <c r="CC115" s="88" t="b">
        <f>AND(NOT(BZ115),BF115=BF117,BF115=BF118,BG115=BG117,BG115=BG118,BH115=BH117,BH115=BH118)</f>
        <v>0</v>
      </c>
      <c r="CD115" s="88" t="b">
        <f>AND(NOT(BZ115),BF116=BF117,BF116=BF118,BG116=BG117,BG116=BG118,BH116=BH117,BH116=BH118)</f>
        <v>0</v>
      </c>
      <c r="CE115" s="88" t="b">
        <f>AND(NOT(BZ115),NOT(CA115),NOT(CB115),BF115=BF116,BG115=BG116,BH115=BH116)</f>
        <v>0</v>
      </c>
      <c r="CF115" s="88" t="b">
        <f>AND(NOT(BZ115),NOT(CA115),NOT(CC115),BF115=BF117,BG115=BG117,BH115=BH117)</f>
        <v>0</v>
      </c>
      <c r="CG115" s="88" t="b">
        <f>AND(NOT(BZ115),NOT(CB115),NOT(CC115),BF115=BF118,BG115=BG118,BH115=BH118)</f>
        <v>0</v>
      </c>
      <c r="CH115" s="88" t="b">
        <f>AND(NOT(BZ115),NOT(CA115),NOT(CD115),BF116=BF117,BG116=BG117)</f>
        <v>0</v>
      </c>
      <c r="CI115" s="88" t="b">
        <f>AND(NOT(BZ115),NOT(CB115),NOT(CD115),BF116=BF118,BG116=BG118,BH116=BH118)</f>
        <v>0</v>
      </c>
      <c r="CJ115" s="88" t="b">
        <f>AND(NOT(BZ115),NOT(CC115),NOT(CD115),BF117=BF118,BG117=BG118,BH117=BH118)</f>
        <v>0</v>
      </c>
      <c r="CK115" s="88" t="b">
        <f t="array" ref="CK115">AND(NOT(BZ115:CJ115))</f>
        <v>0</v>
      </c>
      <c r="CL115" s="84" t="s">
        <v>71</v>
      </c>
      <c r="CM115" s="51">
        <f>IF($CE115,IF(T115-S115&lt;0,-0.5,IF(S115-T115&lt;0,0.5,0)),IF($CA115,IF($BR115&gt;$BR116,-0.5,IF($BR115&lt;$BR116,0.5,0)),IF($CB115,IF($BS115&gt;$BS116,-0.5, IF($BS115&lt;$BS116,0.5,0)),0)))</f>
        <v>0</v>
      </c>
      <c r="CN115" s="51">
        <f>IF($CF115,IF(T117-S117&lt;0,-0.5,IF(S117-T117&lt;0,0.5,0)),IF($CA115,IF($BR115&gt;$BR117,-0.5,IF($BR115&lt;$BR117,0.5,0)),IF($CC115,IF($BT115&gt;$BT117,-0.5,IF($BT115&lt;$BT117,0.5,0)),0)))</f>
        <v>0</v>
      </c>
      <c r="CO115" s="85">
        <f>IF($CG115,IF(S119-T119&lt;0,-0.5,IF(T119-S119&lt;0,0.5,0)),IF($CB115,IF($BS115&gt;$BS118,-0.5,IF($BS115&lt;$BS118,0.5,0)),IF($CC115,IF($BT115&gt;$BT118,-0.5, IF($BT115&lt;$BT118,0.5,0)),0)))</f>
        <v>0</v>
      </c>
    </row>
    <row r="116" spans="1:93" ht="14.25" customHeight="1" x14ac:dyDescent="0.2">
      <c r="A116" s="49">
        <f t="shared" ref="A116:A120" si="137">IF(OR(ISBLANK(S116),ISBLANK(T116)),1,0)</f>
        <v>1</v>
      </c>
      <c r="C116" s="49">
        <v>22</v>
      </c>
      <c r="D116" s="49" t="s">
        <v>171</v>
      </c>
      <c r="E116" s="49" t="s">
        <v>11</v>
      </c>
      <c r="F116" s="49" t="s">
        <v>167</v>
      </c>
      <c r="G116" s="11" t="str">
        <f t="shared" ref="G116:G120" si="138">R116</f>
        <v>Ghana</v>
      </c>
      <c r="H116" s="11">
        <f t="shared" ref="H116:H120" si="139">AN116</f>
        <v>3.8167632593003948</v>
      </c>
      <c r="I116" s="11"/>
      <c r="J116" s="11" t="s">
        <v>35</v>
      </c>
      <c r="K116" s="11">
        <f t="shared" ref="K116:K120" si="140">AO116</f>
        <v>4.1563686426468598</v>
      </c>
      <c r="L116" s="11"/>
      <c r="M116" s="11" t="str">
        <f t="shared" ref="M116:M120" si="141">U116</f>
        <v>Panama</v>
      </c>
      <c r="N116" s="11">
        <f t="shared" ref="N116:N120" si="142">AP116</f>
        <v>2.0120639257971544</v>
      </c>
      <c r="O116" s="57"/>
      <c r="P116" s="89">
        <v>46191</v>
      </c>
      <c r="Q116" s="90">
        <v>4.1666666666666664E-2</v>
      </c>
      <c r="R116" s="249" t="s">
        <v>172</v>
      </c>
      <c r="S116" s="23"/>
      <c r="T116" s="23"/>
      <c r="U116" s="251" t="s">
        <v>173</v>
      </c>
      <c r="V116" s="57"/>
      <c r="W116" s="248">
        <f>BA116</f>
        <v>1</v>
      </c>
      <c r="X116" s="249" t="str">
        <f>INDEX(BE115:BE118,MATCH(BC116,$BD115:$BD118,0))</f>
        <v>Croatia</v>
      </c>
      <c r="Y116" s="250">
        <f>INDEX(BF115:BF118,MATCH(BC116,$BD115:$BD118,0))</f>
        <v>0</v>
      </c>
      <c r="Z116" s="250">
        <f>INDEX(BG115:BG118,MATCH(BC116,$BD115:$BD118,0))</f>
        <v>0</v>
      </c>
      <c r="AA116" s="250">
        <f>INDEX(BH115:BH118,MATCH(BC116,$BD115:$BD118,0))</f>
        <v>0</v>
      </c>
      <c r="AB116" s="250">
        <f>INDEX(BI115:BI118,MATCH(BC116,$BD115:$BD118,0))</f>
        <v>0</v>
      </c>
      <c r="AC116" s="57"/>
      <c r="AD116" s="57"/>
      <c r="AE116" s="49" t="str">
        <f t="shared" si="132"/>
        <v>Ghana</v>
      </c>
      <c r="AF116" s="49" t="str">
        <f t="shared" si="133"/>
        <v>Panama</v>
      </c>
      <c r="AG116" s="75">
        <f>_xlfn.XLOOKUP(AE116,'FIFA rankings'!$B:$B,'FIFA rankings'!$D:$D)</f>
        <v>1346.31</v>
      </c>
      <c r="AH116" s="75">
        <f>_xlfn.XLOOKUP(AF116,'FIFA rankings'!$B:$B,'FIFA rankings'!$D:$D)</f>
        <v>1540.64</v>
      </c>
      <c r="AI116" s="76">
        <f t="shared" si="134"/>
        <v>-194.33000000000015</v>
      </c>
      <c r="AJ116" s="75"/>
      <c r="AK116" s="77">
        <f t="shared" si="135"/>
        <v>1.1603247804970671</v>
      </c>
      <c r="AL116" s="77">
        <f t="shared" si="136"/>
        <v>1.6891822297894583</v>
      </c>
      <c r="AM116" s="75"/>
      <c r="AN116" s="78" cm="1">
        <f t="array" ref="AN116">1/SUMPRODUCT(_xlfn.POISSON.DIST(ROW($1:$8)-1,$AK116,FALSE)*_xlfn.POISSON.DIST(TRANSPOSE(ROW($1:$8)-1),$AL116,FALSE)*((ROW($1:$8)-1)&gt;(TRANSPOSE(ROW($1:$8)-1))))</f>
        <v>3.8167632593003948</v>
      </c>
      <c r="AO116" s="78" cm="1">
        <f t="array" ref="AO116">1/SUMPRODUCT(_xlfn.POISSON.DIST(ROW($1:$8)-1,$AK116,FALSE)*_xlfn.POISSON.DIST(TRANSPOSE(ROW($1:$8)-1),$AL116,FALSE)*((ROW($1:$8)-1)=(TRANSPOSE(ROW($1:$8)-1))))</f>
        <v>4.1563686426468598</v>
      </c>
      <c r="AP116" s="78" cm="1">
        <f t="array" ref="AP116">1/SUMPRODUCT(_xlfn.POISSON.DIST(ROW($1:$8)-1,$AK116,FALSE)*_xlfn.POISSON.DIST(TRANSPOSE(ROW($1:$8)-1),$AL116,FALSE)*((ROW($1:$8)-1)&lt;(TRANSPOSE(ROW($1:$8)-1))))</f>
        <v>2.0120639257971544</v>
      </c>
      <c r="AQ116" s="75"/>
      <c r="AR116" s="78"/>
      <c r="AS116" s="79">
        <f t="shared" ref="AS116:AS120" si="143">1-SUM(1/AN116,1/AO116,1/AP116)</f>
        <v>4.0115955153652294E-4</v>
      </c>
      <c r="BA116" s="80">
        <f>IF(ROUND(BC116,0)=ROUND(BC115,0),BA115,2)</f>
        <v>1</v>
      </c>
      <c r="BB116" s="80">
        <f>ROUND(BC116,0)</f>
        <v>2</v>
      </c>
      <c r="BC116" s="81">
        <f>MAX(MIN(BD115:BD117),MIN(BD115,BD116,BD118),MIN(BD115,BD117,BD118),MIN(BD116:BD118))</f>
        <v>2.46</v>
      </c>
      <c r="BD116" s="92">
        <f>SUM(BV116:BY116)+2.46</f>
        <v>2.46</v>
      </c>
      <c r="BE116" s="83" t="str">
        <f>U115</f>
        <v>Croatia</v>
      </c>
      <c r="BF116" s="51">
        <f>SUM(BJ116:BM116)</f>
        <v>0</v>
      </c>
      <c r="BG116" s="84">
        <f>T115+T118+S120</f>
        <v>0</v>
      </c>
      <c r="BH116" s="51">
        <f>S115+S118+T120</f>
        <v>0</v>
      </c>
      <c r="BI116" s="85">
        <f>BG116-BH116</f>
        <v>0</v>
      </c>
      <c r="BJ116" s="51">
        <f>IF(ISBLANK(T115),0,IF(BK115=3,0,IF(BK115=1,1,3)))</f>
        <v>0</v>
      </c>
      <c r="BK116" s="51" t="s">
        <v>71</v>
      </c>
      <c r="BL116" s="51">
        <f>IF(ISBLANK(S120),0,IF(BK117=3,0,IF(BK117=1,1,3)))</f>
        <v>0</v>
      </c>
      <c r="BM116" s="51">
        <f>IF(ISBLANK(T118),0,IF(T118&gt;S118,3,IF(T118=S118,1,0)))</f>
        <v>0</v>
      </c>
      <c r="BN116" s="84" t="b">
        <f>(10*(BI115-BI116)+BG115-BG116&lt;0)</f>
        <v>0</v>
      </c>
      <c r="BO116" s="51" t="s">
        <v>71</v>
      </c>
      <c r="BP116" s="51" t="b">
        <f>10*(BI116-BI117)+BG116-BG117&gt;0</f>
        <v>0</v>
      </c>
      <c r="BQ116" s="85" t="b">
        <f>10*(BI116-BI118)+BG116-BG118&gt;0</f>
        <v>0</v>
      </c>
      <c r="BR116" s="84">
        <f>10000*(BJ116+BL116)+(T115-S115+S120-T120)*100+(T115+S120)</f>
        <v>0</v>
      </c>
      <c r="BS116" s="51">
        <f>10000*(BJ116+BM116)+(T115-S115+T118-S118)*100+(T115+T118)</f>
        <v>0</v>
      </c>
      <c r="BT116" s="51" t="s">
        <v>71</v>
      </c>
      <c r="BU116" s="85">
        <f>10000*(BL116+BM116)+(T118-S118+S120-T120)*100+(T118+S120)</f>
        <v>0</v>
      </c>
      <c r="BV116" s="93">
        <f>-BW115</f>
        <v>0</v>
      </c>
      <c r="BW116" s="51" t="s">
        <v>71</v>
      </c>
      <c r="BX116" s="86">
        <f>IF($BF116&gt;$BF117,-0.5,IF($BF117&gt;$BF116,0.5,IF(BP116,-0.5,IF(BO117,0.5,CN116))))</f>
        <v>0</v>
      </c>
      <c r="BY116" s="87">
        <f>IF($BF116&gt;$BF118,-0.5,IF($BF118&gt;$BF116,0.5,IF(BQ116,-0.5,IF(BO118,0.5,CO116))))</f>
        <v>0</v>
      </c>
      <c r="CL116" s="84"/>
      <c r="CM116" s="51" t="s">
        <v>71</v>
      </c>
      <c r="CN116" s="51">
        <f>IF($CH115,IF(T120-S120&lt;0,-0.5,IF(S120-T120&lt;0,0.5,0)),IF($CA115,IF($BR116&gt;$BR117,-0.5,IF($BR116&lt;$BR117,0.5,0)),IF($CD115,IF($BU116&gt;$BU117,-0.5,IF($BU116&lt;$BU117,0.5,0)),0)))</f>
        <v>0</v>
      </c>
      <c r="CO116" s="85">
        <f>IF($CI115,IF(S118-T118&lt;0,-0.5,IF(T118-S118&lt;0,0.5,0)),IF($CB115,IF($BS116&gt;$BS118,-0.5,IF($BS116&lt;$BS118,0.5,0)),IF($CD115,IF($BU116&gt;$BU118,-0.5,IF($BU116&lt;$BU118,0.5,0)),0)))</f>
        <v>0</v>
      </c>
    </row>
    <row r="117" spans="1:93" ht="14.25" customHeight="1" x14ac:dyDescent="0.2">
      <c r="A117" s="49">
        <f t="shared" si="137"/>
        <v>1</v>
      </c>
      <c r="C117" s="49">
        <v>45</v>
      </c>
      <c r="D117" s="49" t="s">
        <v>174</v>
      </c>
      <c r="E117" s="49" t="s">
        <v>11</v>
      </c>
      <c r="F117" s="49" t="s">
        <v>167</v>
      </c>
      <c r="G117" s="11" t="str">
        <f t="shared" si="138"/>
        <v>England</v>
      </c>
      <c r="H117" s="11">
        <f t="shared" si="139"/>
        <v>1.4775800005783932</v>
      </c>
      <c r="I117" s="11"/>
      <c r="J117" s="11" t="s">
        <v>35</v>
      </c>
      <c r="K117" s="11">
        <f t="shared" si="140"/>
        <v>5.3724703666580362</v>
      </c>
      <c r="L117" s="11"/>
      <c r="M117" s="11" t="str">
        <f t="shared" si="141"/>
        <v>Ghana</v>
      </c>
      <c r="N117" s="11">
        <f t="shared" si="142"/>
        <v>7.4096801769338496</v>
      </c>
      <c r="O117" s="57"/>
      <c r="P117" s="68">
        <v>46196</v>
      </c>
      <c r="Q117" s="69">
        <v>0.91666666666666663</v>
      </c>
      <c r="R117" s="246" t="str">
        <f>R115</f>
        <v>England</v>
      </c>
      <c r="S117" s="23"/>
      <c r="T117" s="23"/>
      <c r="U117" s="247" t="str">
        <f>R116</f>
        <v>Ghana</v>
      </c>
      <c r="V117" s="57"/>
      <c r="W117" s="94">
        <f>BA117</f>
        <v>1</v>
      </c>
      <c r="X117" s="57" t="str">
        <f>INDEX(BE115:BE118,MATCH(BC117,$BD115:$BD118,0))</f>
        <v>Ghana</v>
      </c>
      <c r="Y117" s="95">
        <f>INDEX(BF115:BF118,MATCH(BC117,$BD115:$BD118,0))</f>
        <v>0</v>
      </c>
      <c r="Z117" s="95">
        <f>INDEX(BG115:BG118,MATCH(BC117,$BD115:$BD118,0))</f>
        <v>0</v>
      </c>
      <c r="AA117" s="95">
        <f>INDEX(BH115:BH118,MATCH(BC117,$BD115:$BD118,0))</f>
        <v>0</v>
      </c>
      <c r="AB117" s="95">
        <f>INDEX(BI115:BI118,MATCH(BC117,$BD115:$BD118,0))</f>
        <v>0</v>
      </c>
      <c r="AC117" s="57"/>
      <c r="AD117" s="57"/>
      <c r="AE117" s="49" t="str">
        <f t="shared" si="132"/>
        <v>England</v>
      </c>
      <c r="AF117" s="49" t="str">
        <f t="shared" si="133"/>
        <v>Ghana</v>
      </c>
      <c r="AG117" s="75">
        <f>_xlfn.XLOOKUP(AE117,'FIFA rankings'!$B:$B,'FIFA rankings'!$D:$D)</f>
        <v>1825.97</v>
      </c>
      <c r="AH117" s="75">
        <f>_xlfn.XLOOKUP(AF117,'FIFA rankings'!$B:$B,'FIFA rankings'!$D:$D)</f>
        <v>1346.31</v>
      </c>
      <c r="AI117" s="76">
        <f t="shared" si="134"/>
        <v>479.66000000000008</v>
      </c>
      <c r="AJ117" s="75"/>
      <c r="AK117" s="77">
        <f t="shared" si="135"/>
        <v>2.2254207409226789</v>
      </c>
      <c r="AL117" s="77">
        <f t="shared" si="136"/>
        <v>0.88073233252394634</v>
      </c>
      <c r="AM117" s="75"/>
      <c r="AN117" s="78" cm="1">
        <f t="array" ref="AN117">1/SUMPRODUCT(_xlfn.POISSON.DIST(ROW($1:$8)-1,$AK117,FALSE)*_xlfn.POISSON.DIST(TRANSPOSE(ROW($1:$8)-1),$AL117,FALSE)*((ROW($1:$8)-1)&gt;(TRANSPOSE(ROW($1:$8)-1))))</f>
        <v>1.4775800005783932</v>
      </c>
      <c r="AO117" s="78" cm="1">
        <f t="array" ref="AO117">1/SUMPRODUCT(_xlfn.POISSON.DIST(ROW($1:$8)-1,$AK117,FALSE)*_xlfn.POISSON.DIST(TRANSPOSE(ROW($1:$8)-1),$AL117,FALSE)*((ROW($1:$8)-1)=(TRANSPOSE(ROW($1:$8)-1))))</f>
        <v>5.3724703666580362</v>
      </c>
      <c r="AP117" s="78" cm="1">
        <f t="array" ref="AP117">1/SUMPRODUCT(_xlfn.POISSON.DIST(ROW($1:$8)-1,$AK117,FALSE)*_xlfn.POISSON.DIST(TRANSPOSE(ROW($1:$8)-1),$AL117,FALSE)*((ROW($1:$8)-1)&lt;(TRANSPOSE(ROW($1:$8)-1))))</f>
        <v>7.4096801769338496</v>
      </c>
      <c r="AQ117" s="75"/>
      <c r="AR117" s="78"/>
      <c r="AS117" s="79">
        <f t="shared" si="143"/>
        <v>2.1249907567831849E-3</v>
      </c>
      <c r="BA117" s="80">
        <f>IF(ROUND(BC117,0)=ROUND(BC116,0),BA116,3)</f>
        <v>1</v>
      </c>
      <c r="BB117" s="80">
        <f>ROUND(BC117,0)</f>
        <v>2</v>
      </c>
      <c r="BC117" s="81">
        <f>MIN(MAX(BD115:BD117),MAX(BD115,BD116,BD118),MAX(BD115,BD117,BD118),MAX(BD116:BD118))</f>
        <v>2.4700000000000002</v>
      </c>
      <c r="BD117" s="92">
        <f>SUM(BV117:BY117)+2.47</f>
        <v>2.4700000000000002</v>
      </c>
      <c r="BE117" s="83" t="str">
        <f>R116</f>
        <v>Ghana</v>
      </c>
      <c r="BF117" s="51">
        <f>SUM(BJ117:BM117)</f>
        <v>0</v>
      </c>
      <c r="BG117" s="84">
        <f>S116+T117+T120</f>
        <v>0</v>
      </c>
      <c r="BH117" s="51">
        <f>T116+S117+S120</f>
        <v>0</v>
      </c>
      <c r="BI117" s="85">
        <f>BG117-BH117</f>
        <v>0</v>
      </c>
      <c r="BJ117" s="51">
        <f>IF(ISBLANK(T117),0,IF(BL115=3,0,IF(BL115=1,1,3)))</f>
        <v>0</v>
      </c>
      <c r="BK117" s="51">
        <f>IF(ISBLANK(T120),0,IF(T120&gt;S120,3,IF(T120=S120,1,0)))</f>
        <v>0</v>
      </c>
      <c r="BL117" s="51" t="s">
        <v>71</v>
      </c>
      <c r="BM117" s="51">
        <f>IF(ISBLANK(S116),0,IF(S116&gt;T116,3,IF(S116=T116,1,0)))</f>
        <v>0</v>
      </c>
      <c r="BN117" s="84" t="b">
        <f>10*(BI115-BI117)+BG115-BG117&lt;0</f>
        <v>0</v>
      </c>
      <c r="BO117" s="51" t="b">
        <f>10*(BI116-BI117)+BG116-BG117&lt;0</f>
        <v>0</v>
      </c>
      <c r="BP117" s="51" t="s">
        <v>71</v>
      </c>
      <c r="BQ117" s="85" t="b">
        <f>10*(BI117-BI118)+BG117-BG118&gt;0</f>
        <v>0</v>
      </c>
      <c r="BR117" s="84">
        <f>10000*(BJ117+BK117)+(T117-S117+T120-S120)*100+(T117+T120)</f>
        <v>0</v>
      </c>
      <c r="BS117" s="51" t="s">
        <v>71</v>
      </c>
      <c r="BT117" s="51">
        <f>10000*(BJ117+BM117)+(S116-T116+T117-S117)*100+(S116+T117)</f>
        <v>0</v>
      </c>
      <c r="BU117" s="85">
        <f>10000*(BK117+BM117)+(S116-T116+T120-S120)*100+(S116+T120)</f>
        <v>0</v>
      </c>
      <c r="BV117" s="93">
        <f>-BX115</f>
        <v>0</v>
      </c>
      <c r="BW117" s="86">
        <f>-BX116</f>
        <v>0</v>
      </c>
      <c r="BX117" s="86" t="s">
        <v>71</v>
      </c>
      <c r="BY117" s="87">
        <f>IF($BF117&gt;$BF118,-0.5,IF($BF118&gt;$BF117,0.5,IF(BQ117,-0.5,IF(BP118,0.5,CO117))))</f>
        <v>0</v>
      </c>
      <c r="CL117" s="84"/>
      <c r="CM117" s="51"/>
      <c r="CN117" s="51" t="s">
        <v>71</v>
      </c>
      <c r="CO117" s="85">
        <f>IF($CJ115,IF(T116-S116&lt;0,-0.5,IF(S116-T116&lt;0,0.5,0)),IF($CC115,IF($BT117&gt;$BT118,-0.5,IF($BT117&lt;$BT118,0.5,0)),IF($CD115,IF($BU117&gt;$BU118,-0.5,IF($BU117&lt;$BU118,0.5,0)),0)))</f>
        <v>0</v>
      </c>
    </row>
    <row r="118" spans="1:93" ht="14.25" customHeight="1" x14ac:dyDescent="0.2">
      <c r="A118" s="49">
        <f t="shared" si="137"/>
        <v>1</v>
      </c>
      <c r="C118" s="49">
        <v>46</v>
      </c>
      <c r="D118" s="49" t="s">
        <v>175</v>
      </c>
      <c r="E118" s="49" t="s">
        <v>11</v>
      </c>
      <c r="F118" s="49" t="s">
        <v>167</v>
      </c>
      <c r="G118" s="11" t="str">
        <f t="shared" si="138"/>
        <v>Panama</v>
      </c>
      <c r="H118" s="11">
        <f t="shared" si="139"/>
        <v>3.6827388072111265</v>
      </c>
      <c r="I118" s="11"/>
      <c r="J118" s="11" t="s">
        <v>35</v>
      </c>
      <c r="K118" s="11">
        <f t="shared" si="140"/>
        <v>4.1202772019665739</v>
      </c>
      <c r="L118" s="11"/>
      <c r="M118" s="11" t="str">
        <f t="shared" si="141"/>
        <v>Croatia</v>
      </c>
      <c r="N118" s="11">
        <f t="shared" si="142"/>
        <v>2.0601747221789921</v>
      </c>
      <c r="O118" s="57"/>
      <c r="P118" s="89">
        <v>46197</v>
      </c>
      <c r="Q118" s="90">
        <v>4.1666666666666664E-2</v>
      </c>
      <c r="R118" s="249" t="str">
        <f>U116</f>
        <v>Panama</v>
      </c>
      <c r="S118" s="23"/>
      <c r="T118" s="23"/>
      <c r="U118" s="251" t="str">
        <f>U115</f>
        <v>Croatia</v>
      </c>
      <c r="V118" s="57"/>
      <c r="W118" s="94">
        <f>BA118</f>
        <v>1</v>
      </c>
      <c r="X118" s="57" t="str">
        <f>INDEX(BE115:BE118,MATCH(BC118,$BD115:$BD118,0))</f>
        <v>Panama</v>
      </c>
      <c r="Y118" s="95">
        <f>INDEX(BF115:BF118,MATCH(BC118,$BD115:$BD118,0))</f>
        <v>0</v>
      </c>
      <c r="Z118" s="95">
        <f>INDEX(BG115:BG118,MATCH(BC118,$BD115:$BD118,0))</f>
        <v>0</v>
      </c>
      <c r="AA118" s="95">
        <f>INDEX(BH115:BH118,MATCH(BC118,$BD115:$BD118,0))</f>
        <v>0</v>
      </c>
      <c r="AB118" s="95">
        <f>INDEX(BI115:BI118,MATCH(BC118,$BD115:$BD118,0))</f>
        <v>0</v>
      </c>
      <c r="AC118" s="57"/>
      <c r="AD118" s="57"/>
      <c r="AE118" s="49" t="str">
        <f t="shared" si="132"/>
        <v>Panama</v>
      </c>
      <c r="AF118" s="49" t="str">
        <f t="shared" si="133"/>
        <v>Croatia</v>
      </c>
      <c r="AG118" s="75">
        <f>_xlfn.XLOOKUP(AE118,'FIFA rankings'!$B:$B,'FIFA rankings'!$D:$D)</f>
        <v>1540.64</v>
      </c>
      <c r="AH118" s="75">
        <f>_xlfn.XLOOKUP(AF118,'FIFA rankings'!$B:$B,'FIFA rankings'!$D:$D)</f>
        <v>1717.07</v>
      </c>
      <c r="AI118" s="76">
        <f t="shared" si="134"/>
        <v>-176.42999999999984</v>
      </c>
      <c r="AJ118" s="75"/>
      <c r="AK118" s="77">
        <f t="shared" si="135"/>
        <v>1.1805682723872948</v>
      </c>
      <c r="AL118" s="77">
        <f t="shared" si="136"/>
        <v>1.6602174104141993</v>
      </c>
      <c r="AM118" s="75"/>
      <c r="AN118" s="78" cm="1">
        <f t="array" ref="AN118">1/SUMPRODUCT(_xlfn.POISSON.DIST(ROW($1:$8)-1,$AK118,FALSE)*_xlfn.POISSON.DIST(TRANSPOSE(ROW($1:$8)-1),$AL118,FALSE)*((ROW($1:$8)-1)&gt;(TRANSPOSE(ROW($1:$8)-1))))</f>
        <v>3.6827388072111265</v>
      </c>
      <c r="AO118" s="78" cm="1">
        <f t="array" ref="AO118">1/SUMPRODUCT(_xlfn.POISSON.DIST(ROW($1:$8)-1,$AK118,FALSE)*_xlfn.POISSON.DIST(TRANSPOSE(ROW($1:$8)-1),$AL118,FALSE)*((ROW($1:$8)-1)=(TRANSPOSE(ROW($1:$8)-1))))</f>
        <v>4.1202772019665739</v>
      </c>
      <c r="AP118" s="78" cm="1">
        <f t="array" ref="AP118">1/SUMPRODUCT(_xlfn.POISSON.DIST(ROW($1:$8)-1,$AK118,FALSE)*_xlfn.POISSON.DIST(TRANSPOSE(ROW($1:$8)-1),$AL118,FALSE)*((ROW($1:$8)-1)&lt;(TRANSPOSE(ROW($1:$8)-1))))</f>
        <v>2.0601747221789921</v>
      </c>
      <c r="AQ118" s="75"/>
      <c r="AR118" s="78"/>
      <c r="AS118" s="79">
        <f t="shared" si="143"/>
        <v>3.6511788528370559E-4</v>
      </c>
      <c r="BA118" s="80">
        <f>IF(ROUND(BC118,0)=ROUND(BC117,0),BA117,4)</f>
        <v>1</v>
      </c>
      <c r="BB118" s="80">
        <f>ROUND(BC118,0)</f>
        <v>2</v>
      </c>
      <c r="BC118" s="81">
        <f>MAX(BD115:BD118)</f>
        <v>2.48</v>
      </c>
      <c r="BD118" s="96">
        <f>SUM(BV118:BY118)+2.48</f>
        <v>2.48</v>
      </c>
      <c r="BE118" s="97" t="str">
        <f>U116</f>
        <v>Panama</v>
      </c>
      <c r="BF118" s="88">
        <f>SUM(BJ118:BM118)</f>
        <v>0</v>
      </c>
      <c r="BG118" s="98">
        <f>T116+S118+S119</f>
        <v>0</v>
      </c>
      <c r="BH118" s="88">
        <f>S116+T118+T119</f>
        <v>0</v>
      </c>
      <c r="BI118" s="99">
        <f>BG118-BH118</f>
        <v>0</v>
      </c>
      <c r="BJ118" s="88">
        <f>IF(ISBLANK(S119),0,IF(BM115=3,0,IF(BM115=1,1,3)))</f>
        <v>0</v>
      </c>
      <c r="BK118" s="88">
        <f>IF(ISBLANK(S118),0,IF(BM116=3,0,IF(BM116=1,1,3)))</f>
        <v>0</v>
      </c>
      <c r="BL118" s="88">
        <f>IF(ISBLANK(T116),0,IF(BM117=3,0,IF(BM117=1,1,3)))</f>
        <v>0</v>
      </c>
      <c r="BM118" s="88" t="s">
        <v>71</v>
      </c>
      <c r="BN118" s="98" t="b">
        <f>10*(BI115-BI118)+BG115-BG118&lt;0</f>
        <v>0</v>
      </c>
      <c r="BO118" s="88" t="b">
        <f>10*(BI116-BI118)+BG116-BG118&lt;0</f>
        <v>0</v>
      </c>
      <c r="BP118" s="88" t="b">
        <f>10*(BI117-BI118)+BG117-BG118&lt;0</f>
        <v>0</v>
      </c>
      <c r="BQ118" s="99" t="s">
        <v>71</v>
      </c>
      <c r="BR118" s="98" t="s">
        <v>71</v>
      </c>
      <c r="BS118" s="88">
        <f>10000*(BJ118+BK118)+(S118-T118+S119-T119)*100+(S118+S119)</f>
        <v>0</v>
      </c>
      <c r="BT118" s="88">
        <f>10000*(BJ118+BL118)+(S119-T119+T116-S116)*100+(S119+T116)</f>
        <v>0</v>
      </c>
      <c r="BU118" s="99">
        <f>10000*(BK118+BL118)+(S118-T118+T116-S116)*100+(S118+T116)</f>
        <v>0</v>
      </c>
      <c r="BV118" s="100">
        <f>-BY115</f>
        <v>0</v>
      </c>
      <c r="BW118" s="101">
        <f>-BY116</f>
        <v>0</v>
      </c>
      <c r="BX118" s="101">
        <f>-BY117</f>
        <v>0</v>
      </c>
      <c r="BY118" s="99" t="s">
        <v>71</v>
      </c>
      <c r="CL118" s="98"/>
      <c r="CM118" s="88"/>
      <c r="CN118" s="88"/>
      <c r="CO118" s="99" t="s">
        <v>71</v>
      </c>
    </row>
    <row r="119" spans="1:93" ht="14.25" customHeight="1" x14ac:dyDescent="0.2">
      <c r="A119" s="49">
        <f t="shared" si="137"/>
        <v>1</v>
      </c>
      <c r="C119" s="49">
        <v>67</v>
      </c>
      <c r="E119" s="49" t="s">
        <v>11</v>
      </c>
      <c r="F119" s="49" t="s">
        <v>167</v>
      </c>
      <c r="G119" s="11" t="str">
        <f t="shared" si="138"/>
        <v>Panama</v>
      </c>
      <c r="H119" s="11">
        <f t="shared" si="139"/>
        <v>4.6246376220741281</v>
      </c>
      <c r="I119" s="11"/>
      <c r="J119" s="11" t="s">
        <v>35</v>
      </c>
      <c r="K119" s="11">
        <f t="shared" si="140"/>
        <v>4.4027368499902737</v>
      </c>
      <c r="L119" s="11"/>
      <c r="M119" s="11" t="str">
        <f t="shared" si="141"/>
        <v>England</v>
      </c>
      <c r="N119" s="11">
        <f t="shared" si="142"/>
        <v>1.7986809574394624</v>
      </c>
      <c r="O119" s="57"/>
      <c r="P119" s="68">
        <v>46200</v>
      </c>
      <c r="Q119" s="69">
        <v>0.95833333333333337</v>
      </c>
      <c r="R119" s="246" t="str">
        <f>U116</f>
        <v>Panama</v>
      </c>
      <c r="S119" s="23"/>
      <c r="T119" s="23"/>
      <c r="U119" s="247" t="str">
        <f>R115</f>
        <v>England</v>
      </c>
      <c r="V119" s="57"/>
      <c r="W119" s="102"/>
      <c r="X119" s="103" t="str">
        <f>IF(OR(W117&lt;3,W116&lt;2),"TIRAGE AU SORT !!!"," ")</f>
        <v>TIRAGE AU SORT !!!</v>
      </c>
      <c r="Y119" s="104"/>
      <c r="Z119" s="104"/>
      <c r="AA119" s="104"/>
      <c r="AB119" s="104"/>
      <c r="AC119" s="57"/>
      <c r="AD119" s="57"/>
      <c r="AE119" s="49" t="str">
        <f t="shared" si="132"/>
        <v>Panama</v>
      </c>
      <c r="AF119" s="49" t="str">
        <f t="shared" si="133"/>
        <v>England</v>
      </c>
      <c r="AG119" s="75">
        <f>_xlfn.XLOOKUP(AE119,'FIFA rankings'!$B:$B,'FIFA rankings'!$D:$D)</f>
        <v>1540.64</v>
      </c>
      <c r="AH119" s="75">
        <f>_xlfn.XLOOKUP(AF119,'FIFA rankings'!$B:$B,'FIFA rankings'!$D:$D)</f>
        <v>1825.97</v>
      </c>
      <c r="AI119" s="76">
        <f t="shared" si="134"/>
        <v>-285.32999999999993</v>
      </c>
      <c r="AJ119" s="75"/>
      <c r="AK119" s="77">
        <f t="shared" si="135"/>
        <v>1.0626552895003361</v>
      </c>
      <c r="AL119" s="77">
        <f t="shared" si="136"/>
        <v>1.8444363090890914</v>
      </c>
      <c r="AM119" s="75"/>
      <c r="AN119" s="78" cm="1">
        <f t="array" ref="AN119">1/SUMPRODUCT(_xlfn.POISSON.DIST(ROW($1:$8)-1,$AK119,FALSE)*_xlfn.POISSON.DIST(TRANSPOSE(ROW($1:$8)-1),$AL119,FALSE)*((ROW($1:$8)-1)&gt;(TRANSPOSE(ROW($1:$8)-1))))</f>
        <v>4.6246376220741281</v>
      </c>
      <c r="AO119" s="78" cm="1">
        <f t="array" ref="AO119">1/SUMPRODUCT(_xlfn.POISSON.DIST(ROW($1:$8)-1,$AK119,FALSE)*_xlfn.POISSON.DIST(TRANSPOSE(ROW($1:$8)-1),$AL119,FALSE)*((ROW($1:$8)-1)=(TRANSPOSE(ROW($1:$8)-1))))</f>
        <v>4.4027368499902737</v>
      </c>
      <c r="AP119" s="78" cm="1">
        <f t="array" ref="AP119">1/SUMPRODUCT(_xlfn.POISSON.DIST(ROW($1:$8)-1,$AK119,FALSE)*_xlfn.POISSON.DIST(TRANSPOSE(ROW($1:$8)-1),$AL119,FALSE)*((ROW($1:$8)-1)&lt;(TRANSPOSE(ROW($1:$8)-1))))</f>
        <v>1.7986809574394624</v>
      </c>
      <c r="AQ119" s="75"/>
      <c r="AR119" s="78"/>
      <c r="AS119" s="79">
        <f t="shared" si="143"/>
        <v>6.7242654794352763E-4</v>
      </c>
    </row>
    <row r="120" spans="1:93" ht="14.25" customHeight="1" x14ac:dyDescent="0.2">
      <c r="A120" s="49">
        <f t="shared" si="137"/>
        <v>1</v>
      </c>
      <c r="C120" s="49">
        <v>68</v>
      </c>
      <c r="E120" s="49" t="s">
        <v>11</v>
      </c>
      <c r="F120" s="49" t="s">
        <v>167</v>
      </c>
      <c r="G120" s="11" t="str">
        <f t="shared" si="138"/>
        <v>Croatia</v>
      </c>
      <c r="H120" s="11">
        <f t="shared" si="139"/>
        <v>1.6382453345274486</v>
      </c>
      <c r="I120" s="11"/>
      <c r="J120" s="11" t="s">
        <v>35</v>
      </c>
      <c r="K120" s="11">
        <f t="shared" si="140"/>
        <v>4.7433498009598782</v>
      </c>
      <c r="L120" s="11"/>
      <c r="M120" s="11" t="str">
        <f t="shared" si="141"/>
        <v>Ghana</v>
      </c>
      <c r="N120" s="11">
        <f t="shared" si="142"/>
        <v>5.6289512378027471</v>
      </c>
      <c r="O120" s="57"/>
      <c r="P120" s="89">
        <v>46200</v>
      </c>
      <c r="Q120" s="90">
        <v>0.95833333333333337</v>
      </c>
      <c r="R120" s="249" t="str">
        <f>U115</f>
        <v>Croatia</v>
      </c>
      <c r="S120" s="23"/>
      <c r="T120" s="23"/>
      <c r="U120" s="251" t="str">
        <f>R116</f>
        <v>Ghana</v>
      </c>
      <c r="V120" s="57"/>
      <c r="AC120" s="57"/>
      <c r="AD120" s="57"/>
      <c r="AE120" s="49" t="str">
        <f t="shared" si="132"/>
        <v>Croatia</v>
      </c>
      <c r="AF120" s="49" t="str">
        <f t="shared" si="133"/>
        <v>Ghana</v>
      </c>
      <c r="AG120" s="75">
        <f>_xlfn.XLOOKUP(AE120,'FIFA rankings'!$B:$B,'FIFA rankings'!$D:$D)</f>
        <v>1717.07</v>
      </c>
      <c r="AH120" s="75">
        <f>_xlfn.XLOOKUP(AF120,'FIFA rankings'!$B:$B,'FIFA rankings'!$D:$D)</f>
        <v>1346.31</v>
      </c>
      <c r="AI120" s="76">
        <f t="shared" si="134"/>
        <v>370.76</v>
      </c>
      <c r="AJ120" s="75"/>
      <c r="AK120" s="77">
        <f t="shared" si="135"/>
        <v>2.0031498194705266</v>
      </c>
      <c r="AL120" s="77">
        <f t="shared" si="136"/>
        <v>0.97845901537113578</v>
      </c>
      <c r="AM120" s="75"/>
      <c r="AN120" s="78" cm="1">
        <f t="array" ref="AN120">1/SUMPRODUCT(_xlfn.POISSON.DIST(ROW($1:$8)-1,$AK120,FALSE)*_xlfn.POISSON.DIST(TRANSPOSE(ROW($1:$8)-1),$AL120,FALSE)*((ROW($1:$8)-1)&gt;(TRANSPOSE(ROW($1:$8)-1))))</f>
        <v>1.6382453345274486</v>
      </c>
      <c r="AO120" s="78" cm="1">
        <f t="array" ref="AO120">1/SUMPRODUCT(_xlfn.POISSON.DIST(ROW($1:$8)-1,$AK120,FALSE)*_xlfn.POISSON.DIST(TRANSPOSE(ROW($1:$8)-1),$AL120,FALSE)*((ROW($1:$8)-1)=(TRANSPOSE(ROW($1:$8)-1))))</f>
        <v>4.7433498009598782</v>
      </c>
      <c r="AP120" s="78" cm="1">
        <f t="array" ref="AP120">1/SUMPRODUCT(_xlfn.POISSON.DIST(ROW($1:$8)-1,$AK120,FALSE)*_xlfn.POISSON.DIST(TRANSPOSE(ROW($1:$8)-1),$AL120,FALSE)*((ROW($1:$8)-1)&lt;(TRANSPOSE(ROW($1:$8)-1))))</f>
        <v>5.6289512378027471</v>
      </c>
      <c r="AQ120" s="75"/>
      <c r="AR120" s="78"/>
      <c r="AS120" s="79">
        <f t="shared" si="143"/>
        <v>1.1163531844423646E-3</v>
      </c>
    </row>
    <row r="121" spans="1:93" ht="14.25" customHeight="1" x14ac:dyDescent="0.2">
      <c r="F121" s="49"/>
      <c r="G121" s="57"/>
      <c r="H121" s="57"/>
      <c r="I121" s="57"/>
      <c r="J121" s="57"/>
      <c r="K121" s="57"/>
      <c r="L121" s="57"/>
      <c r="M121" s="57"/>
      <c r="N121" s="57"/>
      <c r="O121" s="57"/>
      <c r="P121" s="202"/>
      <c r="Q121" s="203"/>
      <c r="R121" s="49"/>
      <c r="S121" s="51"/>
      <c r="T121" s="51"/>
      <c r="U121" s="52"/>
      <c r="V121" s="57"/>
      <c r="AC121" s="57"/>
      <c r="AD121" s="57"/>
    </row>
    <row r="122" spans="1:93" ht="14.25" customHeight="1" x14ac:dyDescent="0.2">
      <c r="F122" s="49"/>
      <c r="G122" s="57"/>
      <c r="H122" s="57"/>
      <c r="I122" s="57"/>
      <c r="J122" s="57"/>
      <c r="K122" s="57"/>
      <c r="L122" s="57"/>
      <c r="M122" s="57"/>
      <c r="N122" s="57"/>
      <c r="O122" s="57"/>
      <c r="P122" s="202"/>
      <c r="Q122" s="203"/>
      <c r="R122" s="49"/>
      <c r="S122" s="51"/>
      <c r="T122" s="51"/>
      <c r="U122" s="52"/>
      <c r="V122" s="57"/>
      <c r="AC122" s="57"/>
      <c r="AD122" s="57"/>
    </row>
    <row r="123" spans="1:93" ht="14.25" customHeight="1" x14ac:dyDescent="0.2">
      <c r="F123" s="49"/>
      <c r="G123" s="57"/>
      <c r="H123" s="57"/>
      <c r="I123" s="57"/>
      <c r="J123" s="57"/>
      <c r="K123" s="57"/>
      <c r="L123" s="57"/>
      <c r="M123" s="57"/>
      <c r="N123" s="57"/>
      <c r="O123" s="57"/>
      <c r="P123" s="202"/>
      <c r="Q123" s="203"/>
      <c r="R123" s="49"/>
      <c r="S123" s="51"/>
      <c r="T123" s="51"/>
      <c r="U123" s="52"/>
      <c r="V123" s="57"/>
      <c r="W123" s="110"/>
      <c r="X123" s="111" t="s">
        <v>188</v>
      </c>
      <c r="Y123" s="112" t="s">
        <v>24</v>
      </c>
      <c r="Z123" s="112" t="str">
        <f>"+/-"</f>
        <v>+/-</v>
      </c>
      <c r="AA123" s="112" t="s">
        <v>182</v>
      </c>
      <c r="AB123" s="112" t="s">
        <v>11</v>
      </c>
      <c r="AC123" s="57"/>
      <c r="AD123" s="57"/>
    </row>
    <row r="124" spans="1:93" ht="15" x14ac:dyDescent="0.2">
      <c r="W124" s="115">
        <v>1</v>
      </c>
      <c r="X124" s="116" t="str">
        <f>IFERROR(+INDEX('Best 3rds calculation'!$B$15:$B$26,MATCH($W124,'Best 3rds calculation'!$L$15:$L$26,0)),"n.a.")</f>
        <v>Korea Republic</v>
      </c>
      <c r="Y124" s="119">
        <f>IFERROR(+INDEX('Best 3rds calculation'!F$15:F$26,MATCH($W124,'Best 3rds calculation'!$L$15:$L$26,0)),"n.a.")</f>
        <v>0</v>
      </c>
      <c r="Z124" s="119">
        <f>IFERROR(+INDEX('Best 3rds calculation'!G$15:G$26,MATCH($W124,'Best 3rds calculation'!$L$15:$L$26,0)),"n.a.")</f>
        <v>0</v>
      </c>
      <c r="AA124" s="119">
        <f>IFERROR(+INDEX('Best 3rds calculation'!H$15:H$26,MATCH($W124,'Best 3rds calculation'!$L$15:$L$26,0)),"n.a.")</f>
        <v>0</v>
      </c>
      <c r="AB124" s="119" t="str">
        <f>IFERROR(+INDEX('Best 3rds calculation'!D$15:D$26,MATCH($W124,'Best 3rds calculation'!$L$15:$L$26,0)),"n.a.")</f>
        <v>A</v>
      </c>
    </row>
    <row r="125" spans="1:93" ht="15" x14ac:dyDescent="0.2">
      <c r="W125" s="115">
        <f t="shared" ref="W125:W135" si="144">W124+1</f>
        <v>2</v>
      </c>
      <c r="X125" s="116" t="str">
        <f>IFERROR(+INDEX('Best 3rds calculation'!$B$15:$B$26,MATCH($W125,'Best 3rds calculation'!$L$15:$L$26,0)),"n.a.")</f>
        <v>Qatar</v>
      </c>
      <c r="Y125" s="119">
        <f>IFERROR(+INDEX('Best 3rds calculation'!F$15:F$26,MATCH($W125,'Best 3rds calculation'!$L$15:$L$26,0)),"n.a.")</f>
        <v>0</v>
      </c>
      <c r="Z125" s="119">
        <f>IFERROR(+INDEX('Best 3rds calculation'!G$15:G$26,MATCH($W125,'Best 3rds calculation'!$L$15:$L$26,0)),"n.a.")</f>
        <v>0</v>
      </c>
      <c r="AA125" s="119">
        <f>IFERROR(+INDEX('Best 3rds calculation'!H$15:H$26,MATCH($W125,'Best 3rds calculation'!$L$15:$L$26,0)),"n.a.")</f>
        <v>0</v>
      </c>
      <c r="AB125" s="119" t="str">
        <f>IFERROR(+INDEX('Best 3rds calculation'!D$15:D$26,MATCH($W125,'Best 3rds calculation'!$L$15:$L$26,0)),"n.a.")</f>
        <v>B</v>
      </c>
    </row>
    <row r="126" spans="1:93" ht="15" x14ac:dyDescent="0.2">
      <c r="W126" s="115">
        <f t="shared" si="144"/>
        <v>3</v>
      </c>
      <c r="X126" s="116" t="str">
        <f>IFERROR(+INDEX('Best 3rds calculation'!$B$15:$B$26,MATCH($W126,'Best 3rds calculation'!$L$15:$L$26,0)),"n.a.")</f>
        <v>Haiti</v>
      </c>
      <c r="Y126" s="119">
        <f>IFERROR(+INDEX('Best 3rds calculation'!F$15:F$26,MATCH($W126,'Best 3rds calculation'!$L$15:$L$26,0)),"n.a.")</f>
        <v>0</v>
      </c>
      <c r="Z126" s="119">
        <f>IFERROR(+INDEX('Best 3rds calculation'!G$15:G$26,MATCH($W126,'Best 3rds calculation'!$L$15:$L$26,0)),"n.a.")</f>
        <v>0</v>
      </c>
      <c r="AA126" s="119">
        <f>IFERROR(+INDEX('Best 3rds calculation'!H$15:H$26,MATCH($W126,'Best 3rds calculation'!$L$15:$L$26,0)),"n.a.")</f>
        <v>0</v>
      </c>
      <c r="AB126" s="119" t="str">
        <f>IFERROR(+INDEX('Best 3rds calculation'!D$15:D$26,MATCH($W126,'Best 3rds calculation'!$L$15:$L$26,0)),"n.a.")</f>
        <v>C</v>
      </c>
    </row>
    <row r="127" spans="1:93" ht="15" x14ac:dyDescent="0.2">
      <c r="W127" s="115">
        <f t="shared" si="144"/>
        <v>4</v>
      </c>
      <c r="X127" s="116" t="str">
        <f>IFERROR(+INDEX('Best 3rds calculation'!$B$15:$B$26,MATCH($W127,'Best 3rds calculation'!$L$15:$L$26,0)),"n.a.")</f>
        <v>Australia</v>
      </c>
      <c r="Y127" s="119">
        <f>IFERROR(+INDEX('Best 3rds calculation'!F$15:F$26,MATCH($W127,'Best 3rds calculation'!$L$15:$L$26,0)),"n.a.")</f>
        <v>0</v>
      </c>
      <c r="Z127" s="119">
        <f>IFERROR(+INDEX('Best 3rds calculation'!G$15:G$26,MATCH($W127,'Best 3rds calculation'!$L$15:$L$26,0)),"n.a.")</f>
        <v>0</v>
      </c>
      <c r="AA127" s="119">
        <f>IFERROR(+INDEX('Best 3rds calculation'!H$15:H$26,MATCH($W127,'Best 3rds calculation'!$L$15:$L$26,0)),"n.a.")</f>
        <v>0</v>
      </c>
      <c r="AB127" s="119" t="str">
        <f>IFERROR(+INDEX('Best 3rds calculation'!D$15:D$26,MATCH($W127,'Best 3rds calculation'!$L$15:$L$26,0)),"n.a.")</f>
        <v>D</v>
      </c>
    </row>
    <row r="128" spans="1:93" ht="15" x14ac:dyDescent="0.2">
      <c r="W128" s="115">
        <f t="shared" si="144"/>
        <v>5</v>
      </c>
      <c r="X128" s="116" t="str">
        <f>IFERROR(+INDEX('Best 3rds calculation'!$B$15:$B$26,MATCH($W128,'Best 3rds calculation'!$L$15:$L$26,0)),"n.a.")</f>
        <v>Côte d'Ivoire</v>
      </c>
      <c r="Y128" s="119">
        <f>IFERROR(+INDEX('Best 3rds calculation'!F$15:F$26,MATCH($W128,'Best 3rds calculation'!$L$15:$L$26,0)),"n.a.")</f>
        <v>0</v>
      </c>
      <c r="Z128" s="119">
        <f>IFERROR(+INDEX('Best 3rds calculation'!G$15:G$26,MATCH($W128,'Best 3rds calculation'!$L$15:$L$26,0)),"n.a.")</f>
        <v>0</v>
      </c>
      <c r="AA128" s="119">
        <f>IFERROR(+INDEX('Best 3rds calculation'!H$15:H$26,MATCH($W128,'Best 3rds calculation'!$L$15:$L$26,0)),"n.a.")</f>
        <v>0</v>
      </c>
      <c r="AB128" s="119" t="str">
        <f>IFERROR(+INDEX('Best 3rds calculation'!D$15:D$26,MATCH($W128,'Best 3rds calculation'!$L$15:$L$26,0)),"n.a.")</f>
        <v>E</v>
      </c>
    </row>
    <row r="129" spans="23:28" ht="15" x14ac:dyDescent="0.2">
      <c r="W129" s="115">
        <f t="shared" si="144"/>
        <v>6</v>
      </c>
      <c r="X129" s="116" t="str">
        <f>IFERROR(+INDEX('Best 3rds calculation'!$B$15:$B$26,MATCH($W129,'Best 3rds calculation'!$L$15:$L$26,0)),"n.a.")</f>
        <v>Sweden</v>
      </c>
      <c r="Y129" s="119">
        <f>IFERROR(+INDEX('Best 3rds calculation'!F$15:F$26,MATCH($W129,'Best 3rds calculation'!$L$15:$L$26,0)),"n.a.")</f>
        <v>0</v>
      </c>
      <c r="Z129" s="119">
        <f>IFERROR(+INDEX('Best 3rds calculation'!G$15:G$26,MATCH($W129,'Best 3rds calculation'!$L$15:$L$26,0)),"n.a.")</f>
        <v>0</v>
      </c>
      <c r="AA129" s="119">
        <f>IFERROR(+INDEX('Best 3rds calculation'!H$15:H$26,MATCH($W129,'Best 3rds calculation'!$L$15:$L$26,0)),"n.a.")</f>
        <v>0</v>
      </c>
      <c r="AB129" s="119" t="str">
        <f>IFERROR(+INDEX('Best 3rds calculation'!D$15:D$26,MATCH($W129,'Best 3rds calculation'!$L$15:$L$26,0)),"n.a.")</f>
        <v>F</v>
      </c>
    </row>
    <row r="130" spans="23:28" ht="15" x14ac:dyDescent="0.2">
      <c r="W130" s="115">
        <f t="shared" si="144"/>
        <v>7</v>
      </c>
      <c r="X130" s="116" t="str">
        <f>IFERROR(+INDEX('Best 3rds calculation'!$B$15:$B$26,MATCH($W130,'Best 3rds calculation'!$L$15:$L$26,0)),"n.a.")</f>
        <v>IR Iran</v>
      </c>
      <c r="Y130" s="119">
        <f>IFERROR(+INDEX('Best 3rds calculation'!F$15:F$26,MATCH($W130,'Best 3rds calculation'!$L$15:$L$26,0)),"n.a.")</f>
        <v>0</v>
      </c>
      <c r="Z130" s="119">
        <f>IFERROR(+INDEX('Best 3rds calculation'!G$15:G$26,MATCH($W130,'Best 3rds calculation'!$L$15:$L$26,0)),"n.a.")</f>
        <v>0</v>
      </c>
      <c r="AA130" s="119">
        <f>IFERROR(+INDEX('Best 3rds calculation'!H$15:H$26,MATCH($W130,'Best 3rds calculation'!$L$15:$L$26,0)),"n.a.")</f>
        <v>0</v>
      </c>
      <c r="AB130" s="119" t="str">
        <f>IFERROR(+INDEX('Best 3rds calculation'!D$15:D$26,MATCH($W130,'Best 3rds calculation'!$L$15:$L$26,0)),"n.a.")</f>
        <v>G</v>
      </c>
    </row>
    <row r="131" spans="23:28" ht="15" x14ac:dyDescent="0.2">
      <c r="W131" s="115">
        <f t="shared" si="144"/>
        <v>8</v>
      </c>
      <c r="X131" s="116" t="str">
        <f>IFERROR(+INDEX('Best 3rds calculation'!$B$15:$B$26,MATCH($W131,'Best 3rds calculation'!$L$15:$L$26,0)),"n.a.")</f>
        <v>Saudi Arabia</v>
      </c>
      <c r="Y131" s="119">
        <f>IFERROR(+INDEX('Best 3rds calculation'!F$15:F$26,MATCH($W131,'Best 3rds calculation'!$L$15:$L$26,0)),"n.a.")</f>
        <v>0</v>
      </c>
      <c r="Z131" s="119">
        <f>IFERROR(+INDEX('Best 3rds calculation'!G$15:G$26,MATCH($W131,'Best 3rds calculation'!$L$15:$L$26,0)),"n.a.")</f>
        <v>0</v>
      </c>
      <c r="AA131" s="119">
        <f>IFERROR(+INDEX('Best 3rds calculation'!H$15:H$26,MATCH($W131,'Best 3rds calculation'!$L$15:$L$26,0)),"n.a.")</f>
        <v>0</v>
      </c>
      <c r="AB131" s="119" t="str">
        <f>IFERROR(+INDEX('Best 3rds calculation'!D$15:D$26,MATCH($W131,'Best 3rds calculation'!$L$15:$L$26,0)),"n.a.")</f>
        <v>H</v>
      </c>
    </row>
    <row r="132" spans="23:28" x14ac:dyDescent="0.2">
      <c r="W132" s="94">
        <f t="shared" si="144"/>
        <v>9</v>
      </c>
      <c r="X132" s="57" t="str">
        <f>IFERROR(+INDEX('Best 3rds calculation'!$B$15:$B$26,MATCH($W132,'Best 3rds calculation'!$L$15:$L$26,0)),"n.a.")</f>
        <v>Iraq</v>
      </c>
      <c r="Y132" s="252">
        <f>IFERROR(+INDEX('Best 3rds calculation'!F$15:F$26,MATCH($W132,'Best 3rds calculation'!$L$15:$L$26,0)),"n.a.")</f>
        <v>0</v>
      </c>
      <c r="Z132" s="252">
        <f>IFERROR(+INDEX('Best 3rds calculation'!G$15:G$26,MATCH($W132,'Best 3rds calculation'!$L$15:$L$26,0)),"n.a.")</f>
        <v>0</v>
      </c>
      <c r="AA132" s="252">
        <f>IFERROR(+INDEX('Best 3rds calculation'!H$15:H$26,MATCH($W132,'Best 3rds calculation'!$L$15:$L$26,0)),"n.a.")</f>
        <v>0</v>
      </c>
      <c r="AB132" s="252" t="str">
        <f>IFERROR(+INDEX('Best 3rds calculation'!D$15:D$26,MATCH($W132,'Best 3rds calculation'!$L$15:$L$26,0)),"n.a.")</f>
        <v>I</v>
      </c>
    </row>
    <row r="133" spans="23:28" x14ac:dyDescent="0.2">
      <c r="W133" s="94">
        <f t="shared" si="144"/>
        <v>10</v>
      </c>
      <c r="X133" s="57" t="str">
        <f>IFERROR(+INDEX('Best 3rds calculation'!$B$15:$B$26,MATCH($W133,'Best 3rds calculation'!$L$15:$L$26,0)),"n.a.")</f>
        <v>Austria</v>
      </c>
      <c r="Y133" s="252">
        <f>IFERROR(+INDEX('Best 3rds calculation'!F$15:F$26,MATCH($W133,'Best 3rds calculation'!$L$15:$L$26,0)),"n.a.")</f>
        <v>0</v>
      </c>
      <c r="Z133" s="252">
        <f>IFERROR(+INDEX('Best 3rds calculation'!G$15:G$26,MATCH($W133,'Best 3rds calculation'!$L$15:$L$26,0)),"n.a.")</f>
        <v>0</v>
      </c>
      <c r="AA133" s="252">
        <f>IFERROR(+INDEX('Best 3rds calculation'!H$15:H$26,MATCH($W133,'Best 3rds calculation'!$L$15:$L$26,0)),"n.a.")</f>
        <v>0</v>
      </c>
      <c r="AB133" s="252" t="str">
        <f>IFERROR(+INDEX('Best 3rds calculation'!D$15:D$26,MATCH($W133,'Best 3rds calculation'!$L$15:$L$26,0)),"n.a.")</f>
        <v>J</v>
      </c>
    </row>
    <row r="134" spans="23:28" x14ac:dyDescent="0.2">
      <c r="W134" s="94">
        <f t="shared" si="144"/>
        <v>11</v>
      </c>
      <c r="X134" s="57" t="str">
        <f>IFERROR(+INDEX('Best 3rds calculation'!$B$15:$B$26,MATCH($W134,'Best 3rds calculation'!$L$15:$L$26,0)),"n.a.")</f>
        <v>Uzbekistan</v>
      </c>
      <c r="Y134" s="252">
        <f>IFERROR(+INDEX('Best 3rds calculation'!F$15:F$26,MATCH($W134,'Best 3rds calculation'!$L$15:$L$26,0)),"n.a.")</f>
        <v>0</v>
      </c>
      <c r="Z134" s="252">
        <f>IFERROR(+INDEX('Best 3rds calculation'!G$15:G$26,MATCH($W134,'Best 3rds calculation'!$L$15:$L$26,0)),"n.a.")</f>
        <v>0</v>
      </c>
      <c r="AA134" s="252">
        <f>IFERROR(+INDEX('Best 3rds calculation'!H$15:H$26,MATCH($W134,'Best 3rds calculation'!$L$15:$L$26,0)),"n.a.")</f>
        <v>0</v>
      </c>
      <c r="AB134" s="252" t="str">
        <f>IFERROR(+INDEX('Best 3rds calculation'!D$15:D$26,MATCH($W134,'Best 3rds calculation'!$L$15:$L$26,0)),"n.a.")</f>
        <v>K</v>
      </c>
    </row>
    <row r="135" spans="23:28" x14ac:dyDescent="0.2">
      <c r="W135" s="94">
        <f t="shared" si="144"/>
        <v>12</v>
      </c>
      <c r="X135" s="57" t="str">
        <f>IFERROR(+INDEX('Best 3rds calculation'!$B$15:$B$26,MATCH($W135,'Best 3rds calculation'!$L$15:$L$26,0)),"n.a.")</f>
        <v>Ghana</v>
      </c>
      <c r="Y135" s="252">
        <f>IFERROR(+INDEX('Best 3rds calculation'!F$15:F$26,MATCH($W135,'Best 3rds calculation'!$L$15:$L$26,0)),"n.a.")</f>
        <v>0</v>
      </c>
      <c r="Z135" s="252">
        <f>IFERROR(+INDEX('Best 3rds calculation'!G$15:G$26,MATCH($W135,'Best 3rds calculation'!$L$15:$L$26,0)),"n.a.")</f>
        <v>0</v>
      </c>
      <c r="AA135" s="252">
        <f>IFERROR(+INDEX('Best 3rds calculation'!H$15:H$26,MATCH($W135,'Best 3rds calculation'!$L$15:$L$26,0)),"n.a.")</f>
        <v>0</v>
      </c>
      <c r="AB135" s="252" t="str">
        <f>IFERROR(+INDEX('Best 3rds calculation'!D$15:D$26,MATCH($W135,'Best 3rds calculation'!$L$15:$L$26,0)),"n.a.")</f>
        <v>L</v>
      </c>
    </row>
  </sheetData>
  <sheetProtection algorithmName="SHA-512" hashValue="Gvp7PR3n3jy+JxqfJyeEq4AQElfT0x1rbQLznL43wb4mOvv2cJ0unCvqbJnxcpWNopma0eMQMBEat4vFydxPrg==" saltValue="wVnimig8BEyvdkiJgh4FWQ==" spinCount="100000" sheet="1" objects="1" scenarios="1"/>
  <protectedRanges>
    <protectedRange algorithmName="SHA-512" hashValue="oY+kIXcLX2IpMya4sW/hCsImLfJnzup2hIWoCxFtXS0AY72E99Rh1sQEs2U/W7Fwto1rpYt1zBegW0s1GcdVew==" saltValue="uAFN4NcYk3TM6gYmsR11zA==" spinCount="100000" sqref="S27:T32 S35:T40 S43:T48 S51:T56 S59:T64 S67:T72 S75:T80 S83:T88 S91:T96 S99:T104 S107:T112 S115:T120" name="Range1"/>
  </protectedRanges>
  <conditionalFormatting sqref="B4">
    <cfRule type="containsText" dxfId="107" priority="93" stopIfTrue="1" operator="containsText" text="OK">
      <formula>NOT(ISERROR(SEARCH("OK",B4)))</formula>
    </cfRule>
    <cfRule type="containsText" dxfId="106" priority="94" stopIfTrue="1" operator="containsText" text="Uncomplete">
      <formula>NOT(ISERROR(SEARCH("Uncomplete",B4)))</formula>
    </cfRule>
    <cfRule type="containsText" dxfId="105" priority="95" stopIfTrue="1" operator="containsText" text="n.a.">
      <formula>NOT(ISERROR(SEARCH("n.a.",B4)))</formula>
    </cfRule>
  </conditionalFormatting>
  <conditionalFormatting sqref="G4">
    <cfRule type="containsText" dxfId="104" priority="2" stopIfTrue="1" operator="containsText" text="Uncomplete">
      <formula>NOT(ISERROR(SEARCH("Uncomplete",G4)))</formula>
    </cfRule>
    <cfRule type="containsText" dxfId="103" priority="3" stopIfTrue="1" operator="containsText" text="n.a.">
      <formula>NOT(ISERROR(SEARCH("n.a.",G4)))</formula>
    </cfRule>
    <cfRule type="containsText" dxfId="102" priority="1" stopIfTrue="1" operator="containsText" text="OK">
      <formula>NOT(ISERROR(SEARCH("OK",G4)))</formula>
    </cfRule>
  </conditionalFormatting>
  <conditionalFormatting sqref="G27:H32">
    <cfRule type="expression" dxfId="101" priority="40">
      <formula>$S27&gt;$T27</formula>
    </cfRule>
  </conditionalFormatting>
  <conditionalFormatting sqref="G35:H40">
    <cfRule type="expression" dxfId="100" priority="37">
      <formula>$S35&gt;$T35</formula>
    </cfRule>
  </conditionalFormatting>
  <conditionalFormatting sqref="G43:H48">
    <cfRule type="expression" dxfId="99" priority="34">
      <formula>$S43&gt;$T43</formula>
    </cfRule>
  </conditionalFormatting>
  <conditionalFormatting sqref="G51:H56">
    <cfRule type="expression" dxfId="98" priority="31">
      <formula>$S51&gt;$T51</formula>
    </cfRule>
  </conditionalFormatting>
  <conditionalFormatting sqref="G59:H64">
    <cfRule type="expression" dxfId="97" priority="28">
      <formula>$S59&gt;$T59</formula>
    </cfRule>
  </conditionalFormatting>
  <conditionalFormatting sqref="G67:H72">
    <cfRule type="expression" dxfId="96" priority="25">
      <formula>$S67&gt;$T67</formula>
    </cfRule>
  </conditionalFormatting>
  <conditionalFormatting sqref="G75:H80">
    <cfRule type="expression" dxfId="95" priority="22">
      <formula>$S75&gt;$T75</formula>
    </cfRule>
  </conditionalFormatting>
  <conditionalFormatting sqref="G83:H88">
    <cfRule type="expression" dxfId="94" priority="19">
      <formula>$S83&gt;$T83</formula>
    </cfRule>
  </conditionalFormatting>
  <conditionalFormatting sqref="G91:H96">
    <cfRule type="expression" dxfId="93" priority="16">
      <formula>$S91&gt;$T91</formula>
    </cfRule>
  </conditionalFormatting>
  <conditionalFormatting sqref="G99:H104">
    <cfRule type="expression" dxfId="92" priority="13">
      <formula>$S99&gt;$T99</formula>
    </cfRule>
  </conditionalFormatting>
  <conditionalFormatting sqref="G107:H112">
    <cfRule type="expression" dxfId="91" priority="10">
      <formula>$S107&gt;$T107</formula>
    </cfRule>
  </conditionalFormatting>
  <conditionalFormatting sqref="G115:H120">
    <cfRule type="expression" dxfId="90" priority="7">
      <formula>$S115&gt;$T115</formula>
    </cfRule>
  </conditionalFormatting>
  <conditionalFormatting sqref="J27:K32">
    <cfRule type="expression" dxfId="89" priority="45">
      <formula>AND($S27=$T27,NOT(ISBLANK($S27)),NOT(ISBLANK($T27)))</formula>
    </cfRule>
  </conditionalFormatting>
  <conditionalFormatting sqref="J35:K40">
    <cfRule type="expression" dxfId="88" priority="39">
      <formula>AND($S35=$T35,NOT(ISBLANK($S35)),NOT(ISBLANK($T35)))</formula>
    </cfRule>
  </conditionalFormatting>
  <conditionalFormatting sqref="J43:K48">
    <cfRule type="expression" dxfId="87" priority="36">
      <formula>AND($S43=$T43,NOT(ISBLANK($S43)),NOT(ISBLANK($T43)))</formula>
    </cfRule>
  </conditionalFormatting>
  <conditionalFormatting sqref="J51:K56">
    <cfRule type="expression" dxfId="86" priority="33">
      <formula>AND($S51=$T51,NOT(ISBLANK($S51)),NOT(ISBLANK($T51)))</formula>
    </cfRule>
  </conditionalFormatting>
  <conditionalFormatting sqref="J59:K64">
    <cfRule type="expression" dxfId="85" priority="30">
      <formula>AND($S59=$T59,NOT(ISBLANK($S59)),NOT(ISBLANK($T59)))</formula>
    </cfRule>
  </conditionalFormatting>
  <conditionalFormatting sqref="J67:K72">
    <cfRule type="expression" dxfId="84" priority="27">
      <formula>AND($S67=$T67,NOT(ISBLANK($S67)),NOT(ISBLANK($T67)))</formula>
    </cfRule>
  </conditionalFormatting>
  <conditionalFormatting sqref="J75:K80">
    <cfRule type="expression" dxfId="83" priority="24">
      <formula>AND($S75=$T75,NOT(ISBLANK($S75)),NOT(ISBLANK($T75)))</formula>
    </cfRule>
  </conditionalFormatting>
  <conditionalFormatting sqref="J83:K88">
    <cfRule type="expression" dxfId="82" priority="21">
      <formula>AND($S83=$T83,NOT(ISBLANK($S83)),NOT(ISBLANK($T83)))</formula>
    </cfRule>
  </conditionalFormatting>
  <conditionalFormatting sqref="J91:K96">
    <cfRule type="expression" dxfId="81" priority="18">
      <formula>AND($S91=$T91,NOT(ISBLANK($S91)),NOT(ISBLANK($T91)))</formula>
    </cfRule>
  </conditionalFormatting>
  <conditionalFormatting sqref="J99:K104">
    <cfRule type="expression" dxfId="80" priority="15">
      <formula>AND($S99=$T99,NOT(ISBLANK($S99)),NOT(ISBLANK($T99)))</formula>
    </cfRule>
  </conditionalFormatting>
  <conditionalFormatting sqref="J107:K112">
    <cfRule type="expression" dxfId="79" priority="12">
      <formula>AND($S107=$T107,NOT(ISBLANK($S107)),NOT(ISBLANK($T107)))</formula>
    </cfRule>
  </conditionalFormatting>
  <conditionalFormatting sqref="J115:K120">
    <cfRule type="expression" dxfId="78" priority="9">
      <formula>AND($S115=$T115,NOT(ISBLANK($S115)),NOT(ISBLANK($T115)))</formula>
    </cfRule>
  </conditionalFormatting>
  <conditionalFormatting sqref="M27:N32">
    <cfRule type="expression" dxfId="77" priority="44">
      <formula>$S27&lt;$T27</formula>
    </cfRule>
  </conditionalFormatting>
  <conditionalFormatting sqref="M35:N40">
    <cfRule type="expression" dxfId="76" priority="38">
      <formula>$S35&lt;$T35</formula>
    </cfRule>
  </conditionalFormatting>
  <conditionalFormatting sqref="M43:N48">
    <cfRule type="expression" dxfId="75" priority="35">
      <formula>$S43&lt;$T43</formula>
    </cfRule>
  </conditionalFormatting>
  <conditionalFormatting sqref="M51:N56">
    <cfRule type="expression" dxfId="74" priority="32">
      <formula>$S51&lt;$T51</formula>
    </cfRule>
  </conditionalFormatting>
  <conditionalFormatting sqref="M59:N64">
    <cfRule type="expression" dxfId="73" priority="29">
      <formula>$S59&lt;$T59</formula>
    </cfRule>
  </conditionalFormatting>
  <conditionalFormatting sqref="M67:N72">
    <cfRule type="expression" dxfId="72" priority="26">
      <formula>$S67&lt;$T67</formula>
    </cfRule>
  </conditionalFormatting>
  <conditionalFormatting sqref="M75:N80">
    <cfRule type="expression" dxfId="71" priority="23">
      <formula>$S75&lt;$T75</formula>
    </cfRule>
  </conditionalFormatting>
  <conditionalFormatting sqref="M83:N88">
    <cfRule type="expression" dxfId="70" priority="20">
      <formula>$S83&lt;$T83</formula>
    </cfRule>
  </conditionalFormatting>
  <conditionalFormatting sqref="M91:N96">
    <cfRule type="expression" dxfId="69" priority="17">
      <formula>$S91&lt;$T91</formula>
    </cfRule>
  </conditionalFormatting>
  <conditionalFormatting sqref="M99:N104">
    <cfRule type="expression" dxfId="68" priority="14">
      <formula>$S99&lt;$T99</formula>
    </cfRule>
  </conditionalFormatting>
  <conditionalFormatting sqref="M107:N112">
    <cfRule type="expression" dxfId="67" priority="11">
      <formula>$S107&lt;$T107</formula>
    </cfRule>
  </conditionalFormatting>
  <conditionalFormatting sqref="M115:N120">
    <cfRule type="expression" dxfId="66" priority="8">
      <formula>$S115&lt;$T115</formula>
    </cfRule>
  </conditionalFormatting>
  <conditionalFormatting sqref="S27:T32 S35:T40 S43:T48 S51:T56 S59:T64 S67:T72 S75:T80 S83:T88 S91:T96 S99:T104 S107:T112 S115:T120">
    <cfRule type="containsBlanks" dxfId="65" priority="4">
      <formula>LEN(TRIM(S27))=0</formula>
    </cfRule>
  </conditionalFormatting>
  <conditionalFormatting sqref="X29:AB29 X37:AB37 X45:AB45 X53:AB53 X61:AB61 X69:AB69 X77:AB77 X85:AB85">
    <cfRule type="expression" dxfId="64" priority="96" stopIfTrue="1">
      <formula>OR($W29&lt;3)</formula>
    </cfRule>
  </conditionalFormatting>
  <conditionalFormatting sqref="X30:AB30 X38:AB38 X46:AB46 X54:AB54 X62:AB62 X70:AB70 X78:AB78 X86:AB86">
    <cfRule type="expression" dxfId="63" priority="97" stopIfTrue="1">
      <formula>$W30&lt;3</formula>
    </cfRule>
  </conditionalFormatting>
  <conditionalFormatting sqref="X93:AB93">
    <cfRule type="expression" dxfId="62" priority="88" stopIfTrue="1">
      <formula>OR($W93&lt;3)</formula>
    </cfRule>
  </conditionalFormatting>
  <conditionalFormatting sqref="X94:AB94">
    <cfRule type="expression" dxfId="61" priority="89" stopIfTrue="1">
      <formula>$W94&lt;3</formula>
    </cfRule>
  </conditionalFormatting>
  <conditionalFormatting sqref="X101:AB101">
    <cfRule type="expression" dxfId="60" priority="86" stopIfTrue="1">
      <formula>OR($W101&lt;3)</formula>
    </cfRule>
  </conditionalFormatting>
  <conditionalFormatting sqref="X102:AB102">
    <cfRule type="expression" dxfId="59" priority="87" stopIfTrue="1">
      <formula>$W102&lt;3</formula>
    </cfRule>
  </conditionalFormatting>
  <conditionalFormatting sqref="X109:AB109">
    <cfRule type="expression" dxfId="58" priority="84" stopIfTrue="1">
      <formula>OR($W109&lt;3)</formula>
    </cfRule>
  </conditionalFormatting>
  <conditionalFormatting sqref="X110:AB110">
    <cfRule type="expression" dxfId="57" priority="85" stopIfTrue="1">
      <formula>$W110&lt;3</formula>
    </cfRule>
  </conditionalFormatting>
  <conditionalFormatting sqref="X117:AB117">
    <cfRule type="expression" dxfId="56" priority="82" stopIfTrue="1">
      <formula>OR($W117&lt;3)</formula>
    </cfRule>
  </conditionalFormatting>
  <conditionalFormatting sqref="X118:AB118">
    <cfRule type="expression" dxfId="55" priority="83" stopIfTrue="1">
      <formula>$W118&lt;3</formula>
    </cfRule>
  </conditionalFormatting>
  <conditionalFormatting sqref="X126:AB126">
    <cfRule type="expression" dxfId="54" priority="5" stopIfTrue="1">
      <formula>OR($W126&lt;3)</formula>
    </cfRule>
  </conditionalFormatting>
  <conditionalFormatting sqref="X127:AB135">
    <cfRule type="expression" dxfId="53" priority="6" stopIfTrue="1">
      <formula>$W127&lt;3</formula>
    </cfRule>
  </conditionalFormatting>
  <conditionalFormatting sqref="AS27:AS32">
    <cfRule type="cellIs" dxfId="52" priority="92" operator="between">
      <formula>-0.00999999977648258</formula>
      <formula>0.00999999977648258</formula>
    </cfRule>
    <cfRule type="cellIs" dxfId="51" priority="91" operator="greaterThan">
      <formula>0.00999999977648258</formula>
    </cfRule>
    <cfRule type="cellIs" dxfId="50" priority="90" operator="lessThan">
      <formula>-0.00999999977648258</formula>
    </cfRule>
  </conditionalFormatting>
  <conditionalFormatting sqref="AS35:AS40">
    <cfRule type="cellIs" dxfId="49" priority="81" operator="between">
      <formula>-0.00999999977648258</formula>
      <formula>0.00999999977648258</formula>
    </cfRule>
    <cfRule type="cellIs" dxfId="48" priority="80" operator="greaterThan">
      <formula>0.00999999977648258</formula>
    </cfRule>
    <cfRule type="cellIs" dxfId="47" priority="79" operator="lessThan">
      <formula>-0.00999999977648258</formula>
    </cfRule>
  </conditionalFormatting>
  <conditionalFormatting sqref="AS43:AS48">
    <cfRule type="cellIs" dxfId="46" priority="77" operator="greaterThan">
      <formula>0.00999999977648258</formula>
    </cfRule>
    <cfRule type="cellIs" dxfId="45" priority="78" operator="between">
      <formula>-0.00999999977648258</formula>
      <formula>0.00999999977648258</formula>
    </cfRule>
    <cfRule type="cellIs" dxfId="44" priority="76" operator="lessThan">
      <formula>-0.00999999977648258</formula>
    </cfRule>
  </conditionalFormatting>
  <conditionalFormatting sqref="AS51:AS56">
    <cfRule type="cellIs" dxfId="43" priority="74" operator="greaterThan">
      <formula>0.00999999977648258</formula>
    </cfRule>
    <cfRule type="cellIs" dxfId="42" priority="73" operator="lessThan">
      <formula>-0.00999999977648258</formula>
    </cfRule>
    <cfRule type="cellIs" dxfId="41" priority="75" operator="between">
      <formula>-0.00999999977648258</formula>
      <formula>0.00999999977648258</formula>
    </cfRule>
  </conditionalFormatting>
  <conditionalFormatting sqref="AS59:AS64">
    <cfRule type="cellIs" dxfId="40" priority="71" operator="greaterThan">
      <formula>0.00999999977648258</formula>
    </cfRule>
    <cfRule type="cellIs" dxfId="39" priority="72" operator="between">
      <formula>-0.00999999977648258</formula>
      <formula>0.00999999977648258</formula>
    </cfRule>
    <cfRule type="cellIs" dxfId="38" priority="70" operator="lessThan">
      <formula>-0.00999999977648258</formula>
    </cfRule>
  </conditionalFormatting>
  <conditionalFormatting sqref="AS67:AS72">
    <cfRule type="cellIs" dxfId="37" priority="69" operator="between">
      <formula>-0.00999999977648258</formula>
      <formula>0.00999999977648258</formula>
    </cfRule>
    <cfRule type="cellIs" dxfId="36" priority="68" operator="greaterThan">
      <formula>0.00999999977648258</formula>
    </cfRule>
    <cfRule type="cellIs" dxfId="35" priority="67" operator="lessThan">
      <formula>-0.00999999977648258</formula>
    </cfRule>
  </conditionalFormatting>
  <conditionalFormatting sqref="AS75:AS80">
    <cfRule type="cellIs" dxfId="34" priority="65" operator="greaterThan">
      <formula>0.00999999977648258</formula>
    </cfRule>
    <cfRule type="cellIs" dxfId="33" priority="66" operator="between">
      <formula>-0.00999999977648258</formula>
      <formula>0.00999999977648258</formula>
    </cfRule>
    <cfRule type="cellIs" dxfId="32" priority="64" operator="lessThan">
      <formula>-0.00999999977648258</formula>
    </cfRule>
  </conditionalFormatting>
  <conditionalFormatting sqref="AS83:AS88">
    <cfRule type="cellIs" dxfId="31" priority="61" operator="lessThan">
      <formula>-0.00999999977648258</formula>
    </cfRule>
    <cfRule type="cellIs" dxfId="30" priority="62" operator="greaterThan">
      <formula>0.00999999977648258</formula>
    </cfRule>
    <cfRule type="cellIs" dxfId="29" priority="63" operator="between">
      <formula>-0.00999999977648258</formula>
      <formula>0.00999999977648258</formula>
    </cfRule>
  </conditionalFormatting>
  <conditionalFormatting sqref="AS91:AS96">
    <cfRule type="cellIs" dxfId="28" priority="58" operator="lessThan">
      <formula>-0.00999999977648258</formula>
    </cfRule>
    <cfRule type="cellIs" dxfId="27" priority="59" operator="greaterThan">
      <formula>0.00999999977648258</formula>
    </cfRule>
    <cfRule type="cellIs" dxfId="26" priority="60" operator="between">
      <formula>-0.00999999977648258</formula>
      <formula>0.00999999977648258</formula>
    </cfRule>
  </conditionalFormatting>
  <conditionalFormatting sqref="AS99:AS104">
    <cfRule type="cellIs" dxfId="25" priority="56" operator="greaterThan">
      <formula>0.00999999977648258</formula>
    </cfRule>
    <cfRule type="cellIs" dxfId="24" priority="57" operator="between">
      <formula>-0.00999999977648258</formula>
      <formula>0.00999999977648258</formula>
    </cfRule>
    <cfRule type="cellIs" dxfId="23" priority="55" operator="lessThan">
      <formula>-0.00999999977648258</formula>
    </cfRule>
  </conditionalFormatting>
  <conditionalFormatting sqref="AS107:AS112">
    <cfRule type="cellIs" dxfId="22" priority="52" operator="lessThan">
      <formula>-0.00999999977648258</formula>
    </cfRule>
    <cfRule type="cellIs" dxfId="21" priority="53" operator="greaterThan">
      <formula>0.00999999977648258</formula>
    </cfRule>
    <cfRule type="cellIs" dxfId="20" priority="54" operator="between">
      <formula>-0.00999999977648258</formula>
      <formula>0.00999999977648258</formula>
    </cfRule>
  </conditionalFormatting>
  <conditionalFormatting sqref="AS115:AS120">
    <cfRule type="cellIs" dxfId="19" priority="51" operator="between">
      <formula>-0.00999999977648258</formula>
      <formula>0.00999999977648258</formula>
    </cfRule>
    <cfRule type="cellIs" dxfId="18" priority="50" operator="greaterThan">
      <formula>0.00999999977648258</formula>
    </cfRule>
    <cfRule type="cellIs" dxfId="17" priority="49" operator="lessThan">
      <formula>-0.00999999977648258</formula>
    </cfRule>
  </conditionalFormatting>
  <pageMargins left="0.7" right="0.7" top="0.75" bottom="0.75" header="0.3" footer="0.3"/>
  <pageSetup paperSize="9" orientation="portrait" r:id="rId1"/>
  <headerFooter>
    <oddHeader>&amp;R&amp;"Aptos"&amp;11&amp;KFF0000 Distribution : Restricted&amp;1#_x000D_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30D0E23-60B7-479C-AE5B-A5A946360A0A}">
          <x14:formula1>
            <xm:f>Offices!$B$11:$B$26</xm:f>
          </x14:formula1>
          <xm:sqref>G19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6B58-4E87-40AA-A950-8E8ACF9280D9}">
  <sheetPr>
    <tabColor theme="5"/>
  </sheetPr>
  <dimension ref="A1:O16"/>
  <sheetViews>
    <sheetView showGridLines="0" tabSelected="1" zoomScale="85" zoomScaleNormal="85" workbookViewId="0"/>
  </sheetViews>
  <sheetFormatPr defaultRowHeight="14.25" outlineLevelCol="1" x14ac:dyDescent="0.2"/>
  <cols>
    <col min="1" max="1" width="0.88671875" customWidth="1"/>
    <col min="2" max="5" width="9" hidden="1" customWidth="1" outlineLevel="1"/>
    <col min="6" max="6" width="26.77734375" customWidth="1" collapsed="1"/>
    <col min="7" max="7" width="12.88671875" bestFit="1" customWidth="1"/>
    <col min="9" max="9" width="26.77734375" customWidth="1"/>
    <col min="12" max="12" width="26.77734375" customWidth="1"/>
    <col min="15" max="15" width="26.77734375" customWidth="1"/>
  </cols>
  <sheetData>
    <row r="1" spans="1:15" ht="15" x14ac:dyDescent="0.25">
      <c r="A1" s="1" t="s">
        <v>189</v>
      </c>
      <c r="B1" s="1"/>
      <c r="C1" s="1"/>
      <c r="D1" s="1"/>
      <c r="E1" s="1"/>
      <c r="F1" s="2"/>
    </row>
    <row r="2" spans="1:15" x14ac:dyDescent="0.2">
      <c r="A2" s="2" t="str">
        <f ca="1">MID(CELL("filename",A1),FIND("]",CELL("filename",A1))+1,50)</f>
        <v>Last 8 teams predictions</v>
      </c>
      <c r="B2" s="2"/>
      <c r="C2" s="2"/>
      <c r="D2" s="2"/>
      <c r="E2" s="2"/>
      <c r="F2" s="2"/>
    </row>
    <row r="3" spans="1:15" x14ac:dyDescent="0.2">
      <c r="A3" s="2"/>
      <c r="B3" s="2"/>
      <c r="C3" s="2"/>
      <c r="D3" s="2"/>
      <c r="E3" s="2"/>
      <c r="F3" s="3" t="s">
        <v>0</v>
      </c>
      <c r="G3" s="3" t="s">
        <v>239</v>
      </c>
    </row>
    <row r="4" spans="1:15" x14ac:dyDescent="0.2">
      <c r="A4" s="2"/>
      <c r="B4" s="2"/>
      <c r="C4" s="2"/>
      <c r="D4" s="2"/>
      <c r="E4" s="2"/>
      <c r="F4" s="4" t="str">
        <f>IF(SUM(A9:A16)&gt;0,"Uncomplete","OK")</f>
        <v>Uncomplete</v>
      </c>
      <c r="G4" s="4" t="str">
        <f>IF(AND('Player Template'!$B$4="OK",'Last 8 teams predictions'!$F$4="OK"),"OK","Uncomplete")</f>
        <v>Uncomplete</v>
      </c>
    </row>
    <row r="7" spans="1:15" ht="15" thickBot="1" x14ac:dyDescent="0.25"/>
    <row r="8" spans="1:15" ht="15" x14ac:dyDescent="0.25">
      <c r="F8" s="253" t="s">
        <v>228</v>
      </c>
      <c r="I8" s="253" t="s">
        <v>227</v>
      </c>
      <c r="L8" s="253" t="s">
        <v>229</v>
      </c>
      <c r="O8" s="253" t="s">
        <v>230</v>
      </c>
    </row>
    <row r="9" spans="1:15" ht="15" thickBot="1" x14ac:dyDescent="0.25">
      <c r="A9" s="49">
        <f>IF(OR(ISBLANK(F9),ISBLANK(I9),ISBLANK(L9),ISBLANK(O9)),1,0)</f>
        <v>1</v>
      </c>
      <c r="B9" s="49" t="s">
        <v>240</v>
      </c>
      <c r="C9" s="49" t="s">
        <v>248</v>
      </c>
      <c r="D9" s="49" t="s">
        <v>114</v>
      </c>
      <c r="E9" s="49" t="s">
        <v>252</v>
      </c>
      <c r="F9" s="254"/>
      <c r="I9" s="254"/>
      <c r="L9" s="254"/>
      <c r="O9" s="255"/>
    </row>
    <row r="10" spans="1:15" ht="15" thickBot="1" x14ac:dyDescent="0.25">
      <c r="A10" s="49">
        <f>IF(OR(ISBLANK(F10),ISBLANK(I10),ISBLANK(L10)),1,0)</f>
        <v>1</v>
      </c>
      <c r="B10" s="49" t="s">
        <v>241</v>
      </c>
      <c r="C10" s="49" t="s">
        <v>249</v>
      </c>
      <c r="D10" s="49" t="s">
        <v>117</v>
      </c>
      <c r="E10" s="49"/>
      <c r="F10" s="254"/>
      <c r="I10" s="254"/>
      <c r="L10" s="255"/>
    </row>
    <row r="11" spans="1:15" x14ac:dyDescent="0.2">
      <c r="A11" s="49">
        <f>IF(OR(ISBLANK(F11),ISBLANK(I11)),1,0)</f>
        <v>1</v>
      </c>
      <c r="B11" s="49" t="s">
        <v>242</v>
      </c>
      <c r="C11" s="49" t="s">
        <v>250</v>
      </c>
      <c r="D11" s="49"/>
      <c r="E11" s="49"/>
      <c r="F11" s="254"/>
      <c r="I11" s="254"/>
    </row>
    <row r="12" spans="1:15" ht="15" thickBot="1" x14ac:dyDescent="0.25">
      <c r="A12" s="49">
        <f>IF(OR(ISBLANK(F12),ISBLANK(I12)),1,0)</f>
        <v>1</v>
      </c>
      <c r="B12" s="49" t="s">
        <v>243</v>
      </c>
      <c r="C12" s="49" t="s">
        <v>251</v>
      </c>
      <c r="D12" s="49"/>
      <c r="E12" s="49"/>
      <c r="F12" s="254"/>
      <c r="I12" s="255"/>
    </row>
    <row r="13" spans="1:15" x14ac:dyDescent="0.2">
      <c r="A13" s="49">
        <f>IF(OR(ISBLANK(F13)),1,0)</f>
        <v>1</v>
      </c>
      <c r="B13" s="49" t="s">
        <v>244</v>
      </c>
      <c r="C13" s="49"/>
      <c r="D13" s="49"/>
      <c r="E13" s="49"/>
      <c r="F13" s="254"/>
    </row>
    <row r="14" spans="1:15" x14ac:dyDescent="0.2">
      <c r="A14" s="49">
        <f t="shared" ref="A14:A16" si="0">IF(OR(ISBLANK(F14)),1,0)</f>
        <v>1</v>
      </c>
      <c r="B14" s="49" t="s">
        <v>245</v>
      </c>
      <c r="C14" s="49"/>
      <c r="D14" s="49"/>
      <c r="E14" s="49"/>
      <c r="F14" s="254"/>
    </row>
    <row r="15" spans="1:15" x14ac:dyDescent="0.2">
      <c r="A15" s="49">
        <f t="shared" si="0"/>
        <v>1</v>
      </c>
      <c r="B15" s="49" t="s">
        <v>246</v>
      </c>
      <c r="C15" s="49"/>
      <c r="D15" s="49"/>
      <c r="E15" s="49"/>
      <c r="F15" s="254"/>
    </row>
    <row r="16" spans="1:15" ht="15" thickBot="1" x14ac:dyDescent="0.25">
      <c r="A16" s="49">
        <f t="shared" si="0"/>
        <v>1</v>
      </c>
      <c r="B16" s="49" t="s">
        <v>247</v>
      </c>
      <c r="C16" s="49"/>
      <c r="D16" s="49"/>
      <c r="E16" s="49"/>
      <c r="F16" s="255"/>
    </row>
  </sheetData>
  <sheetProtection sheet="1" objects="1" scenarios="1"/>
  <protectedRanges>
    <protectedRange sqref="F9:F16 I9:I12 L9:L10 O9" name="Range1"/>
  </protectedRanges>
  <conditionalFormatting sqref="F9:F16">
    <cfRule type="duplicateValues" dxfId="16" priority="3"/>
    <cfRule type="containsBlanks" dxfId="15" priority="13">
      <formula>LEN(TRIM(F9))=0</formula>
    </cfRule>
  </conditionalFormatting>
  <conditionalFormatting sqref="F4:G4">
    <cfRule type="containsText" dxfId="14" priority="4" stopIfTrue="1" operator="containsText" text="OK">
      <formula>NOT(ISERROR(SEARCH("OK",F4)))</formula>
    </cfRule>
    <cfRule type="containsText" dxfId="13" priority="5" stopIfTrue="1" operator="containsText" text="Uncomplete">
      <formula>NOT(ISERROR(SEARCH("Uncomplete",F4)))</formula>
    </cfRule>
    <cfRule type="containsText" dxfId="12" priority="6" stopIfTrue="1" operator="containsText" text="n.a.">
      <formula>NOT(ISERROR(SEARCH("n.a.",F4)))</formula>
    </cfRule>
  </conditionalFormatting>
  <conditionalFormatting sqref="I9:I12">
    <cfRule type="duplicateValues" dxfId="11" priority="2"/>
    <cfRule type="containsBlanks" dxfId="10" priority="9">
      <formula>LEN(TRIM(I9))=0</formula>
    </cfRule>
  </conditionalFormatting>
  <conditionalFormatting sqref="L9:L10">
    <cfRule type="duplicateValues" dxfId="9" priority="1"/>
    <cfRule type="containsBlanks" dxfId="8" priority="8">
      <formula>LEN(TRIM(L9))=0</formula>
    </cfRule>
  </conditionalFormatting>
  <conditionalFormatting sqref="O9">
    <cfRule type="containsBlanks" dxfId="7" priority="7">
      <formula>LEN(TRIM(O9))=0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B85601-A1CC-4191-A607-B3405E5E3C39}">
          <x14:formula1>
            <xm:f>'FIFA rankings'!$B$15:$B$62</xm:f>
          </x14:formula1>
          <xm:sqref>F9:F16 I9:I12 L9:L10 O9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F505-FD0F-483B-B17A-8EA9E4798B62}">
  <dimension ref="A1:E73"/>
  <sheetViews>
    <sheetView workbookViewId="0"/>
  </sheetViews>
  <sheetFormatPr defaultRowHeight="14.25" x14ac:dyDescent="0.2"/>
  <cols>
    <col min="1" max="1" width="9.77734375" bestFit="1" customWidth="1"/>
    <col min="2" max="3" width="17.6640625" bestFit="1" customWidth="1"/>
  </cols>
  <sheetData>
    <row r="1" spans="1:5" ht="15" x14ac:dyDescent="0.25">
      <c r="A1" s="10" t="s">
        <v>222</v>
      </c>
      <c r="B1" s="9" t="s">
        <v>223</v>
      </c>
      <c r="C1" s="9" t="s">
        <v>224</v>
      </c>
      <c r="D1" s="10" t="s">
        <v>225</v>
      </c>
      <c r="E1" s="10" t="s">
        <v>226</v>
      </c>
    </row>
    <row r="2" spans="1:5" x14ac:dyDescent="0.2">
      <c r="A2">
        <v>1</v>
      </c>
      <c r="B2" t="str">
        <f>_xlfn.XLOOKUP($A2,'Player Template'!$C:$C,'Player Template'!R:R)</f>
        <v>Mexico</v>
      </c>
      <c r="C2" t="str">
        <f>_xlfn.XLOOKUP($A2,'Player Template'!$C:$C,'Player Template'!U:U)</f>
        <v>South Africa</v>
      </c>
      <c r="D2">
        <f>_xlfn.XLOOKUP($A2,'Player Template'!$C:$C,'Player Template'!S:S)</f>
        <v>0</v>
      </c>
      <c r="E2">
        <f>_xlfn.XLOOKUP($A2,'Player Template'!$C:$C,'Player Template'!T:T)</f>
        <v>0</v>
      </c>
    </row>
    <row r="3" spans="1:5" x14ac:dyDescent="0.2">
      <c r="A3">
        <v>2</v>
      </c>
      <c r="B3" t="str">
        <f>_xlfn.XLOOKUP($A3,'Player Template'!$C:$C,'Player Template'!R:R)</f>
        <v>Korea Republic</v>
      </c>
      <c r="C3" t="str">
        <f>_xlfn.XLOOKUP($A3,'Player Template'!$C:$C,'Player Template'!U:U)</f>
        <v>Czechia</v>
      </c>
      <c r="D3">
        <f>_xlfn.XLOOKUP($A3,'Player Template'!$C:$C,'Player Template'!S:S)</f>
        <v>0</v>
      </c>
      <c r="E3">
        <f>_xlfn.XLOOKUP($A3,'Player Template'!$C:$C,'Player Template'!T:T)</f>
        <v>0</v>
      </c>
    </row>
    <row r="4" spans="1:5" x14ac:dyDescent="0.2">
      <c r="A4">
        <v>3</v>
      </c>
      <c r="B4" t="str">
        <f>_xlfn.XLOOKUP($A4,'Player Template'!$C:$C,'Player Template'!R:R)</f>
        <v>Canada</v>
      </c>
      <c r="C4" t="str">
        <f>_xlfn.XLOOKUP($A4,'Player Template'!$C:$C,'Player Template'!U:U)</f>
        <v>Bosnia and Herzegovina</v>
      </c>
      <c r="D4">
        <f>_xlfn.XLOOKUP($A4,'Player Template'!$C:$C,'Player Template'!S:S)</f>
        <v>0</v>
      </c>
      <c r="E4">
        <f>_xlfn.XLOOKUP($A4,'Player Template'!$C:$C,'Player Template'!T:T)</f>
        <v>0</v>
      </c>
    </row>
    <row r="5" spans="1:5" x14ac:dyDescent="0.2">
      <c r="A5">
        <v>4</v>
      </c>
      <c r="B5" t="str">
        <f>_xlfn.XLOOKUP($A5,'Player Template'!$C:$C,'Player Template'!R:R)</f>
        <v>USA</v>
      </c>
      <c r="C5" t="str">
        <f>_xlfn.XLOOKUP($A5,'Player Template'!$C:$C,'Player Template'!U:U)</f>
        <v>Paraguay</v>
      </c>
      <c r="D5">
        <f>_xlfn.XLOOKUP($A5,'Player Template'!$C:$C,'Player Template'!S:S)</f>
        <v>0</v>
      </c>
      <c r="E5">
        <f>_xlfn.XLOOKUP($A5,'Player Template'!$C:$C,'Player Template'!T:T)</f>
        <v>0</v>
      </c>
    </row>
    <row r="6" spans="1:5" x14ac:dyDescent="0.2">
      <c r="A6">
        <v>5</v>
      </c>
      <c r="B6" t="str">
        <f>_xlfn.XLOOKUP($A6,'Player Template'!$C:$C,'Player Template'!R:R)</f>
        <v>Brazil</v>
      </c>
      <c r="C6" t="str">
        <f>_xlfn.XLOOKUP($A6,'Player Template'!$C:$C,'Player Template'!U:U)</f>
        <v>Morocco</v>
      </c>
      <c r="D6">
        <f>_xlfn.XLOOKUP($A6,'Player Template'!$C:$C,'Player Template'!S:S)</f>
        <v>0</v>
      </c>
      <c r="E6">
        <f>_xlfn.XLOOKUP($A6,'Player Template'!$C:$C,'Player Template'!T:T)</f>
        <v>0</v>
      </c>
    </row>
    <row r="7" spans="1:5" x14ac:dyDescent="0.2">
      <c r="A7">
        <v>6</v>
      </c>
      <c r="B7" t="str">
        <f>_xlfn.XLOOKUP($A7,'Player Template'!$C:$C,'Player Template'!R:R)</f>
        <v>Australia</v>
      </c>
      <c r="C7" t="str">
        <f>_xlfn.XLOOKUP($A7,'Player Template'!$C:$C,'Player Template'!U:U)</f>
        <v>Türkiye</v>
      </c>
      <c r="D7">
        <f>_xlfn.XLOOKUP($A7,'Player Template'!$C:$C,'Player Template'!S:S)</f>
        <v>0</v>
      </c>
      <c r="E7">
        <f>_xlfn.XLOOKUP($A7,'Player Template'!$C:$C,'Player Template'!T:T)</f>
        <v>0</v>
      </c>
    </row>
    <row r="8" spans="1:5" x14ac:dyDescent="0.2">
      <c r="A8">
        <v>7</v>
      </c>
      <c r="B8" t="str">
        <f>_xlfn.XLOOKUP($A8,'Player Template'!$C:$C,'Player Template'!R:R)</f>
        <v>Haiti</v>
      </c>
      <c r="C8" t="str">
        <f>_xlfn.XLOOKUP($A8,'Player Template'!$C:$C,'Player Template'!U:U)</f>
        <v>Scotland</v>
      </c>
      <c r="D8">
        <f>_xlfn.XLOOKUP($A8,'Player Template'!$C:$C,'Player Template'!S:S)</f>
        <v>0</v>
      </c>
      <c r="E8">
        <f>_xlfn.XLOOKUP($A8,'Player Template'!$C:$C,'Player Template'!T:T)</f>
        <v>0</v>
      </c>
    </row>
    <row r="9" spans="1:5" x14ac:dyDescent="0.2">
      <c r="A9">
        <v>8</v>
      </c>
      <c r="B9" t="str">
        <f>_xlfn.XLOOKUP($A9,'Player Template'!$C:$C,'Player Template'!R:R)</f>
        <v>Qatar</v>
      </c>
      <c r="C9" t="str">
        <f>_xlfn.XLOOKUP($A9,'Player Template'!$C:$C,'Player Template'!U:U)</f>
        <v>Switzerland</v>
      </c>
      <c r="D9">
        <f>_xlfn.XLOOKUP($A9,'Player Template'!$C:$C,'Player Template'!S:S)</f>
        <v>0</v>
      </c>
      <c r="E9">
        <f>_xlfn.XLOOKUP($A9,'Player Template'!$C:$C,'Player Template'!T:T)</f>
        <v>0</v>
      </c>
    </row>
    <row r="10" spans="1:5" x14ac:dyDescent="0.2">
      <c r="A10">
        <v>9</v>
      </c>
      <c r="B10" t="str">
        <f>_xlfn.XLOOKUP($A10,'Player Template'!$C:$C,'Player Template'!R:R)</f>
        <v>Germany</v>
      </c>
      <c r="C10" t="str">
        <f>_xlfn.XLOOKUP($A10,'Player Template'!$C:$C,'Player Template'!U:U)</f>
        <v>Curaçao</v>
      </c>
      <c r="D10">
        <f>_xlfn.XLOOKUP($A10,'Player Template'!$C:$C,'Player Template'!S:S)</f>
        <v>0</v>
      </c>
      <c r="E10">
        <f>_xlfn.XLOOKUP($A10,'Player Template'!$C:$C,'Player Template'!T:T)</f>
        <v>0</v>
      </c>
    </row>
    <row r="11" spans="1:5" x14ac:dyDescent="0.2">
      <c r="A11">
        <v>10</v>
      </c>
      <c r="B11" t="str">
        <f>_xlfn.XLOOKUP($A11,'Player Template'!$C:$C,'Player Template'!R:R)</f>
        <v>Côte d'Ivoire</v>
      </c>
      <c r="C11" t="str">
        <f>_xlfn.XLOOKUP($A11,'Player Template'!$C:$C,'Player Template'!U:U)</f>
        <v>Ecuador</v>
      </c>
      <c r="D11">
        <f>_xlfn.XLOOKUP($A11,'Player Template'!$C:$C,'Player Template'!S:S)</f>
        <v>0</v>
      </c>
      <c r="E11">
        <f>_xlfn.XLOOKUP($A11,'Player Template'!$C:$C,'Player Template'!T:T)</f>
        <v>0</v>
      </c>
    </row>
    <row r="12" spans="1:5" x14ac:dyDescent="0.2">
      <c r="A12">
        <v>11</v>
      </c>
      <c r="B12" t="str">
        <f>_xlfn.XLOOKUP($A12,'Player Template'!$C:$C,'Player Template'!R:R)</f>
        <v>Netherlands</v>
      </c>
      <c r="C12" t="str">
        <f>_xlfn.XLOOKUP($A12,'Player Template'!$C:$C,'Player Template'!U:U)</f>
        <v>Japan</v>
      </c>
      <c r="D12">
        <f>_xlfn.XLOOKUP($A12,'Player Template'!$C:$C,'Player Template'!S:S)</f>
        <v>0</v>
      </c>
      <c r="E12">
        <f>_xlfn.XLOOKUP($A12,'Player Template'!$C:$C,'Player Template'!T:T)</f>
        <v>0</v>
      </c>
    </row>
    <row r="13" spans="1:5" x14ac:dyDescent="0.2">
      <c r="A13">
        <v>12</v>
      </c>
      <c r="B13" t="str">
        <f>_xlfn.XLOOKUP($A13,'Player Template'!$C:$C,'Player Template'!R:R)</f>
        <v>Sweden</v>
      </c>
      <c r="C13" t="str">
        <f>_xlfn.XLOOKUP($A13,'Player Template'!$C:$C,'Player Template'!U:U)</f>
        <v>Tunisia</v>
      </c>
      <c r="D13">
        <f>_xlfn.XLOOKUP($A13,'Player Template'!$C:$C,'Player Template'!S:S)</f>
        <v>0</v>
      </c>
      <c r="E13">
        <f>_xlfn.XLOOKUP($A13,'Player Template'!$C:$C,'Player Template'!T:T)</f>
        <v>0</v>
      </c>
    </row>
    <row r="14" spans="1:5" x14ac:dyDescent="0.2">
      <c r="A14">
        <v>13</v>
      </c>
      <c r="B14" t="str">
        <f>_xlfn.XLOOKUP($A14,'Player Template'!$C:$C,'Player Template'!R:R)</f>
        <v>Spain</v>
      </c>
      <c r="C14" t="str">
        <f>_xlfn.XLOOKUP($A14,'Player Template'!$C:$C,'Player Template'!U:U)</f>
        <v>Cabo Verde</v>
      </c>
      <c r="D14">
        <f>_xlfn.XLOOKUP($A14,'Player Template'!$C:$C,'Player Template'!S:S)</f>
        <v>0</v>
      </c>
      <c r="E14">
        <f>_xlfn.XLOOKUP($A14,'Player Template'!$C:$C,'Player Template'!T:T)</f>
        <v>0</v>
      </c>
    </row>
    <row r="15" spans="1:5" x14ac:dyDescent="0.2">
      <c r="A15">
        <v>14</v>
      </c>
      <c r="B15" t="str">
        <f>_xlfn.XLOOKUP($A15,'Player Template'!$C:$C,'Player Template'!R:R)</f>
        <v>Saudi Arabia</v>
      </c>
      <c r="C15" t="str">
        <f>_xlfn.XLOOKUP($A15,'Player Template'!$C:$C,'Player Template'!U:U)</f>
        <v>Uruguay</v>
      </c>
      <c r="D15">
        <f>_xlfn.XLOOKUP($A15,'Player Template'!$C:$C,'Player Template'!S:S)</f>
        <v>0</v>
      </c>
      <c r="E15">
        <f>_xlfn.XLOOKUP($A15,'Player Template'!$C:$C,'Player Template'!T:T)</f>
        <v>0</v>
      </c>
    </row>
    <row r="16" spans="1:5" x14ac:dyDescent="0.2">
      <c r="A16">
        <v>15</v>
      </c>
      <c r="B16" t="str">
        <f>_xlfn.XLOOKUP($A16,'Player Template'!$C:$C,'Player Template'!R:R)</f>
        <v>Belgium</v>
      </c>
      <c r="C16" t="str">
        <f>_xlfn.XLOOKUP($A16,'Player Template'!$C:$C,'Player Template'!U:U)</f>
        <v>Egypt</v>
      </c>
      <c r="D16">
        <f>_xlfn.XLOOKUP($A16,'Player Template'!$C:$C,'Player Template'!S:S)</f>
        <v>0</v>
      </c>
      <c r="E16">
        <f>_xlfn.XLOOKUP($A16,'Player Template'!$C:$C,'Player Template'!T:T)</f>
        <v>0</v>
      </c>
    </row>
    <row r="17" spans="1:5" x14ac:dyDescent="0.2">
      <c r="A17">
        <v>16</v>
      </c>
      <c r="B17" t="str">
        <f>_xlfn.XLOOKUP($A17,'Player Template'!$C:$C,'Player Template'!R:R)</f>
        <v>IR Iran</v>
      </c>
      <c r="C17" t="str">
        <f>_xlfn.XLOOKUP($A17,'Player Template'!$C:$C,'Player Template'!U:U)</f>
        <v>New Zealand</v>
      </c>
      <c r="D17">
        <f>_xlfn.XLOOKUP($A17,'Player Template'!$C:$C,'Player Template'!S:S)</f>
        <v>0</v>
      </c>
      <c r="E17">
        <f>_xlfn.XLOOKUP($A17,'Player Template'!$C:$C,'Player Template'!T:T)</f>
        <v>0</v>
      </c>
    </row>
    <row r="18" spans="1:5" x14ac:dyDescent="0.2">
      <c r="A18">
        <v>17</v>
      </c>
      <c r="B18" t="str">
        <f>_xlfn.XLOOKUP($A18,'Player Template'!$C:$C,'Player Template'!R:R)</f>
        <v>France</v>
      </c>
      <c r="C18" t="str">
        <f>_xlfn.XLOOKUP($A18,'Player Template'!$C:$C,'Player Template'!U:U)</f>
        <v>Senegal</v>
      </c>
      <c r="D18">
        <f>_xlfn.XLOOKUP($A18,'Player Template'!$C:$C,'Player Template'!S:S)</f>
        <v>0</v>
      </c>
      <c r="E18">
        <f>_xlfn.XLOOKUP($A18,'Player Template'!$C:$C,'Player Template'!T:T)</f>
        <v>0</v>
      </c>
    </row>
    <row r="19" spans="1:5" x14ac:dyDescent="0.2">
      <c r="A19">
        <v>18</v>
      </c>
      <c r="B19" t="str">
        <f>_xlfn.XLOOKUP($A19,'Player Template'!$C:$C,'Player Template'!R:R)</f>
        <v>Iraq</v>
      </c>
      <c r="C19" t="str">
        <f>_xlfn.XLOOKUP($A19,'Player Template'!$C:$C,'Player Template'!U:U)</f>
        <v>Norway</v>
      </c>
      <c r="D19">
        <f>_xlfn.XLOOKUP($A19,'Player Template'!$C:$C,'Player Template'!S:S)</f>
        <v>0</v>
      </c>
      <c r="E19">
        <f>_xlfn.XLOOKUP($A19,'Player Template'!$C:$C,'Player Template'!T:T)</f>
        <v>0</v>
      </c>
    </row>
    <row r="20" spans="1:5" x14ac:dyDescent="0.2">
      <c r="A20">
        <v>19</v>
      </c>
      <c r="B20" t="str">
        <f>_xlfn.XLOOKUP($A20,'Player Template'!$C:$C,'Player Template'!R:R)</f>
        <v>Argentina</v>
      </c>
      <c r="C20" t="str">
        <f>_xlfn.XLOOKUP($A20,'Player Template'!$C:$C,'Player Template'!U:U)</f>
        <v>Algeria</v>
      </c>
      <c r="D20">
        <f>_xlfn.XLOOKUP($A20,'Player Template'!$C:$C,'Player Template'!S:S)</f>
        <v>0</v>
      </c>
      <c r="E20">
        <f>_xlfn.XLOOKUP($A20,'Player Template'!$C:$C,'Player Template'!T:T)</f>
        <v>0</v>
      </c>
    </row>
    <row r="21" spans="1:5" x14ac:dyDescent="0.2">
      <c r="A21">
        <v>20</v>
      </c>
      <c r="B21" t="str">
        <f>_xlfn.XLOOKUP($A21,'Player Template'!$C:$C,'Player Template'!R:R)</f>
        <v>Austria</v>
      </c>
      <c r="C21" t="str">
        <f>_xlfn.XLOOKUP($A21,'Player Template'!$C:$C,'Player Template'!U:U)</f>
        <v>Jordan</v>
      </c>
      <c r="D21">
        <f>_xlfn.XLOOKUP($A21,'Player Template'!$C:$C,'Player Template'!S:S)</f>
        <v>0</v>
      </c>
      <c r="E21">
        <f>_xlfn.XLOOKUP($A21,'Player Template'!$C:$C,'Player Template'!T:T)</f>
        <v>0</v>
      </c>
    </row>
    <row r="22" spans="1:5" x14ac:dyDescent="0.2">
      <c r="A22">
        <v>21</v>
      </c>
      <c r="B22" t="str">
        <f>_xlfn.XLOOKUP($A22,'Player Template'!$C:$C,'Player Template'!R:R)</f>
        <v>England</v>
      </c>
      <c r="C22" t="str">
        <f>_xlfn.XLOOKUP($A22,'Player Template'!$C:$C,'Player Template'!U:U)</f>
        <v>Croatia</v>
      </c>
      <c r="D22">
        <f>_xlfn.XLOOKUP($A22,'Player Template'!$C:$C,'Player Template'!S:S)</f>
        <v>0</v>
      </c>
      <c r="E22">
        <f>_xlfn.XLOOKUP($A22,'Player Template'!$C:$C,'Player Template'!T:T)</f>
        <v>0</v>
      </c>
    </row>
    <row r="23" spans="1:5" x14ac:dyDescent="0.2">
      <c r="A23">
        <v>22</v>
      </c>
      <c r="B23" t="str">
        <f>_xlfn.XLOOKUP($A23,'Player Template'!$C:$C,'Player Template'!R:R)</f>
        <v>Ghana</v>
      </c>
      <c r="C23" t="str">
        <f>_xlfn.XLOOKUP($A23,'Player Template'!$C:$C,'Player Template'!U:U)</f>
        <v>Panama</v>
      </c>
      <c r="D23">
        <f>_xlfn.XLOOKUP($A23,'Player Template'!$C:$C,'Player Template'!S:S)</f>
        <v>0</v>
      </c>
      <c r="E23">
        <f>_xlfn.XLOOKUP($A23,'Player Template'!$C:$C,'Player Template'!T:T)</f>
        <v>0</v>
      </c>
    </row>
    <row r="24" spans="1:5" x14ac:dyDescent="0.2">
      <c r="A24">
        <v>23</v>
      </c>
      <c r="B24" t="str">
        <f>_xlfn.XLOOKUP($A24,'Player Template'!$C:$C,'Player Template'!R:R)</f>
        <v>Portugal</v>
      </c>
      <c r="C24" t="str">
        <f>_xlfn.XLOOKUP($A24,'Player Template'!$C:$C,'Player Template'!U:U)</f>
        <v>Congo DR</v>
      </c>
      <c r="D24">
        <f>_xlfn.XLOOKUP($A24,'Player Template'!$C:$C,'Player Template'!S:S)</f>
        <v>0</v>
      </c>
      <c r="E24">
        <f>_xlfn.XLOOKUP($A24,'Player Template'!$C:$C,'Player Template'!T:T)</f>
        <v>0</v>
      </c>
    </row>
    <row r="25" spans="1:5" x14ac:dyDescent="0.2">
      <c r="A25">
        <v>24</v>
      </c>
      <c r="B25" t="str">
        <f>_xlfn.XLOOKUP($A25,'Player Template'!$C:$C,'Player Template'!R:R)</f>
        <v>Uzbekistan</v>
      </c>
      <c r="C25" t="str">
        <f>_xlfn.XLOOKUP($A25,'Player Template'!$C:$C,'Player Template'!U:U)</f>
        <v>Colombia</v>
      </c>
      <c r="D25">
        <f>_xlfn.XLOOKUP($A25,'Player Template'!$C:$C,'Player Template'!S:S)</f>
        <v>0</v>
      </c>
      <c r="E25">
        <f>_xlfn.XLOOKUP($A25,'Player Template'!$C:$C,'Player Template'!T:T)</f>
        <v>0</v>
      </c>
    </row>
    <row r="26" spans="1:5" x14ac:dyDescent="0.2">
      <c r="A26">
        <v>25</v>
      </c>
      <c r="B26" t="str">
        <f>_xlfn.XLOOKUP($A26,'Player Template'!$C:$C,'Player Template'!R:R)</f>
        <v>Mexico</v>
      </c>
      <c r="C26" t="str">
        <f>_xlfn.XLOOKUP($A26,'Player Template'!$C:$C,'Player Template'!U:U)</f>
        <v>Korea Republic</v>
      </c>
      <c r="D26">
        <f>_xlfn.XLOOKUP($A26,'Player Template'!$C:$C,'Player Template'!S:S)</f>
        <v>0</v>
      </c>
      <c r="E26">
        <f>_xlfn.XLOOKUP($A26,'Player Template'!$C:$C,'Player Template'!T:T)</f>
        <v>0</v>
      </c>
    </row>
    <row r="27" spans="1:5" x14ac:dyDescent="0.2">
      <c r="A27">
        <v>26</v>
      </c>
      <c r="B27" t="str">
        <f>_xlfn.XLOOKUP($A27,'Player Template'!$C:$C,'Player Template'!R:R)</f>
        <v>Canada</v>
      </c>
      <c r="C27" t="str">
        <f>_xlfn.XLOOKUP($A27,'Player Template'!$C:$C,'Player Template'!U:U)</f>
        <v>Qatar</v>
      </c>
      <c r="D27">
        <f>_xlfn.XLOOKUP($A27,'Player Template'!$C:$C,'Player Template'!S:S)</f>
        <v>0</v>
      </c>
      <c r="E27">
        <f>_xlfn.XLOOKUP($A27,'Player Template'!$C:$C,'Player Template'!T:T)</f>
        <v>0</v>
      </c>
    </row>
    <row r="28" spans="1:5" x14ac:dyDescent="0.2">
      <c r="A28">
        <v>27</v>
      </c>
      <c r="B28" t="str">
        <f>_xlfn.XLOOKUP($A28,'Player Template'!$C:$C,'Player Template'!R:R)</f>
        <v>Switzerland</v>
      </c>
      <c r="C28" t="str">
        <f>_xlfn.XLOOKUP($A28,'Player Template'!$C:$C,'Player Template'!U:U)</f>
        <v>Bosnia and Herzegovina</v>
      </c>
      <c r="D28">
        <f>_xlfn.XLOOKUP($A28,'Player Template'!$C:$C,'Player Template'!S:S)</f>
        <v>0</v>
      </c>
      <c r="E28">
        <f>_xlfn.XLOOKUP($A28,'Player Template'!$C:$C,'Player Template'!T:T)</f>
        <v>0</v>
      </c>
    </row>
    <row r="29" spans="1:5" x14ac:dyDescent="0.2">
      <c r="A29">
        <v>28</v>
      </c>
      <c r="B29" t="str">
        <f>_xlfn.XLOOKUP($A29,'Player Template'!$C:$C,'Player Template'!R:R)</f>
        <v>Czechia</v>
      </c>
      <c r="C29" t="str">
        <f>_xlfn.XLOOKUP($A29,'Player Template'!$C:$C,'Player Template'!U:U)</f>
        <v>South Africa</v>
      </c>
      <c r="D29">
        <f>_xlfn.XLOOKUP($A29,'Player Template'!$C:$C,'Player Template'!S:S)</f>
        <v>0</v>
      </c>
      <c r="E29">
        <f>_xlfn.XLOOKUP($A29,'Player Template'!$C:$C,'Player Template'!T:T)</f>
        <v>0</v>
      </c>
    </row>
    <row r="30" spans="1:5" x14ac:dyDescent="0.2">
      <c r="A30">
        <v>29</v>
      </c>
      <c r="B30" t="str">
        <f>_xlfn.XLOOKUP($A30,'Player Template'!$C:$C,'Player Template'!R:R)</f>
        <v>Brazil</v>
      </c>
      <c r="C30" t="str">
        <f>_xlfn.XLOOKUP($A30,'Player Template'!$C:$C,'Player Template'!U:U)</f>
        <v>Haiti</v>
      </c>
      <c r="D30">
        <f>_xlfn.XLOOKUP($A30,'Player Template'!$C:$C,'Player Template'!S:S)</f>
        <v>0</v>
      </c>
      <c r="E30">
        <f>_xlfn.XLOOKUP($A30,'Player Template'!$C:$C,'Player Template'!T:T)</f>
        <v>0</v>
      </c>
    </row>
    <row r="31" spans="1:5" x14ac:dyDescent="0.2">
      <c r="A31">
        <v>30</v>
      </c>
      <c r="B31" t="str">
        <f>_xlfn.XLOOKUP($A31,'Player Template'!$C:$C,'Player Template'!R:R)</f>
        <v>Scotland</v>
      </c>
      <c r="C31" t="str">
        <f>_xlfn.XLOOKUP($A31,'Player Template'!$C:$C,'Player Template'!U:U)</f>
        <v>Morocco</v>
      </c>
      <c r="D31">
        <f>_xlfn.XLOOKUP($A31,'Player Template'!$C:$C,'Player Template'!S:S)</f>
        <v>0</v>
      </c>
      <c r="E31">
        <f>_xlfn.XLOOKUP($A31,'Player Template'!$C:$C,'Player Template'!T:T)</f>
        <v>0</v>
      </c>
    </row>
    <row r="32" spans="1:5" x14ac:dyDescent="0.2">
      <c r="A32">
        <v>31</v>
      </c>
      <c r="B32" t="str">
        <f>_xlfn.XLOOKUP($A32,'Player Template'!$C:$C,'Player Template'!R:R)</f>
        <v>USA</v>
      </c>
      <c r="C32" t="str">
        <f>_xlfn.XLOOKUP($A32,'Player Template'!$C:$C,'Player Template'!U:U)</f>
        <v>Australia</v>
      </c>
      <c r="D32">
        <f>_xlfn.XLOOKUP($A32,'Player Template'!$C:$C,'Player Template'!S:S)</f>
        <v>0</v>
      </c>
      <c r="E32">
        <f>_xlfn.XLOOKUP($A32,'Player Template'!$C:$C,'Player Template'!T:T)</f>
        <v>0</v>
      </c>
    </row>
    <row r="33" spans="1:5" x14ac:dyDescent="0.2">
      <c r="A33">
        <v>32</v>
      </c>
      <c r="B33" t="str">
        <f>_xlfn.XLOOKUP($A33,'Player Template'!$C:$C,'Player Template'!R:R)</f>
        <v>Türkiye</v>
      </c>
      <c r="C33" t="str">
        <f>_xlfn.XLOOKUP($A33,'Player Template'!$C:$C,'Player Template'!U:U)</f>
        <v>Paraguay</v>
      </c>
      <c r="D33">
        <f>_xlfn.XLOOKUP($A33,'Player Template'!$C:$C,'Player Template'!S:S)</f>
        <v>0</v>
      </c>
      <c r="E33">
        <f>_xlfn.XLOOKUP($A33,'Player Template'!$C:$C,'Player Template'!T:T)</f>
        <v>0</v>
      </c>
    </row>
    <row r="34" spans="1:5" x14ac:dyDescent="0.2">
      <c r="A34">
        <v>33</v>
      </c>
      <c r="B34" t="str">
        <f>_xlfn.XLOOKUP($A34,'Player Template'!$C:$C,'Player Template'!R:R)</f>
        <v>Germany</v>
      </c>
      <c r="C34" t="str">
        <f>_xlfn.XLOOKUP($A34,'Player Template'!$C:$C,'Player Template'!U:U)</f>
        <v>Côte d'Ivoire</v>
      </c>
      <c r="D34">
        <f>_xlfn.XLOOKUP($A34,'Player Template'!$C:$C,'Player Template'!S:S)</f>
        <v>0</v>
      </c>
      <c r="E34">
        <f>_xlfn.XLOOKUP($A34,'Player Template'!$C:$C,'Player Template'!T:T)</f>
        <v>0</v>
      </c>
    </row>
    <row r="35" spans="1:5" x14ac:dyDescent="0.2">
      <c r="A35">
        <v>34</v>
      </c>
      <c r="B35" t="str">
        <f>_xlfn.XLOOKUP($A35,'Player Template'!$C:$C,'Player Template'!R:R)</f>
        <v>Ecuador</v>
      </c>
      <c r="C35" t="str">
        <f>_xlfn.XLOOKUP($A35,'Player Template'!$C:$C,'Player Template'!U:U)</f>
        <v>Curaçao</v>
      </c>
      <c r="D35">
        <f>_xlfn.XLOOKUP($A35,'Player Template'!$C:$C,'Player Template'!S:S)</f>
        <v>0</v>
      </c>
      <c r="E35">
        <f>_xlfn.XLOOKUP($A35,'Player Template'!$C:$C,'Player Template'!T:T)</f>
        <v>0</v>
      </c>
    </row>
    <row r="36" spans="1:5" x14ac:dyDescent="0.2">
      <c r="A36">
        <v>35</v>
      </c>
      <c r="B36" t="str">
        <f>_xlfn.XLOOKUP($A36,'Player Template'!$C:$C,'Player Template'!R:R)</f>
        <v>Netherlands</v>
      </c>
      <c r="C36" t="str">
        <f>_xlfn.XLOOKUP($A36,'Player Template'!$C:$C,'Player Template'!U:U)</f>
        <v>Sweden</v>
      </c>
      <c r="D36">
        <f>_xlfn.XLOOKUP($A36,'Player Template'!$C:$C,'Player Template'!S:S)</f>
        <v>0</v>
      </c>
      <c r="E36">
        <f>_xlfn.XLOOKUP($A36,'Player Template'!$C:$C,'Player Template'!T:T)</f>
        <v>0</v>
      </c>
    </row>
    <row r="37" spans="1:5" x14ac:dyDescent="0.2">
      <c r="A37">
        <v>36</v>
      </c>
      <c r="B37" t="str">
        <f>_xlfn.XLOOKUP($A37,'Player Template'!$C:$C,'Player Template'!R:R)</f>
        <v>Tunisia</v>
      </c>
      <c r="C37" t="str">
        <f>_xlfn.XLOOKUP($A37,'Player Template'!$C:$C,'Player Template'!U:U)</f>
        <v>Japan</v>
      </c>
      <c r="D37">
        <f>_xlfn.XLOOKUP($A37,'Player Template'!$C:$C,'Player Template'!S:S)</f>
        <v>0</v>
      </c>
      <c r="E37">
        <f>_xlfn.XLOOKUP($A37,'Player Template'!$C:$C,'Player Template'!T:T)</f>
        <v>0</v>
      </c>
    </row>
    <row r="38" spans="1:5" x14ac:dyDescent="0.2">
      <c r="A38">
        <v>37</v>
      </c>
      <c r="B38" t="str">
        <f>_xlfn.XLOOKUP($A38,'Player Template'!$C:$C,'Player Template'!R:R)</f>
        <v>Spain</v>
      </c>
      <c r="C38" t="str">
        <f>_xlfn.XLOOKUP($A38,'Player Template'!$C:$C,'Player Template'!U:U)</f>
        <v>Saudi Arabia</v>
      </c>
      <c r="D38">
        <f>_xlfn.XLOOKUP($A38,'Player Template'!$C:$C,'Player Template'!S:S)</f>
        <v>0</v>
      </c>
      <c r="E38">
        <f>_xlfn.XLOOKUP($A38,'Player Template'!$C:$C,'Player Template'!T:T)</f>
        <v>0</v>
      </c>
    </row>
    <row r="39" spans="1:5" x14ac:dyDescent="0.2">
      <c r="A39">
        <v>38</v>
      </c>
      <c r="B39" t="str">
        <f>_xlfn.XLOOKUP($A39,'Player Template'!$C:$C,'Player Template'!R:R)</f>
        <v>Uruguay</v>
      </c>
      <c r="C39" t="str">
        <f>_xlfn.XLOOKUP($A39,'Player Template'!$C:$C,'Player Template'!U:U)</f>
        <v>Cabo Verde</v>
      </c>
      <c r="D39">
        <f>_xlfn.XLOOKUP($A39,'Player Template'!$C:$C,'Player Template'!S:S)</f>
        <v>0</v>
      </c>
      <c r="E39">
        <f>_xlfn.XLOOKUP($A39,'Player Template'!$C:$C,'Player Template'!T:T)</f>
        <v>0</v>
      </c>
    </row>
    <row r="40" spans="1:5" x14ac:dyDescent="0.2">
      <c r="A40">
        <v>39</v>
      </c>
      <c r="B40" t="str">
        <f>_xlfn.XLOOKUP($A40,'Player Template'!$C:$C,'Player Template'!R:R)</f>
        <v>Belgium</v>
      </c>
      <c r="C40" t="str">
        <f>_xlfn.XLOOKUP($A40,'Player Template'!$C:$C,'Player Template'!U:U)</f>
        <v>IR Iran</v>
      </c>
      <c r="D40">
        <f>_xlfn.XLOOKUP($A40,'Player Template'!$C:$C,'Player Template'!S:S)</f>
        <v>0</v>
      </c>
      <c r="E40">
        <f>_xlfn.XLOOKUP($A40,'Player Template'!$C:$C,'Player Template'!T:T)</f>
        <v>0</v>
      </c>
    </row>
    <row r="41" spans="1:5" x14ac:dyDescent="0.2">
      <c r="A41">
        <v>40</v>
      </c>
      <c r="B41" t="str">
        <f>_xlfn.XLOOKUP($A41,'Player Template'!$C:$C,'Player Template'!R:R)</f>
        <v>New Zealand</v>
      </c>
      <c r="C41" t="str">
        <f>_xlfn.XLOOKUP($A41,'Player Template'!$C:$C,'Player Template'!U:U)</f>
        <v>Egypt</v>
      </c>
      <c r="D41">
        <f>_xlfn.XLOOKUP($A41,'Player Template'!$C:$C,'Player Template'!S:S)</f>
        <v>0</v>
      </c>
      <c r="E41">
        <f>_xlfn.XLOOKUP($A41,'Player Template'!$C:$C,'Player Template'!T:T)</f>
        <v>0</v>
      </c>
    </row>
    <row r="42" spans="1:5" x14ac:dyDescent="0.2">
      <c r="A42">
        <v>41</v>
      </c>
      <c r="B42" t="str">
        <f>_xlfn.XLOOKUP($A42,'Player Template'!$C:$C,'Player Template'!R:R)</f>
        <v>France</v>
      </c>
      <c r="C42" t="str">
        <f>_xlfn.XLOOKUP($A42,'Player Template'!$C:$C,'Player Template'!U:U)</f>
        <v>Iraq</v>
      </c>
      <c r="D42">
        <f>_xlfn.XLOOKUP($A42,'Player Template'!$C:$C,'Player Template'!S:S)</f>
        <v>0</v>
      </c>
      <c r="E42">
        <f>_xlfn.XLOOKUP($A42,'Player Template'!$C:$C,'Player Template'!T:T)</f>
        <v>0</v>
      </c>
    </row>
    <row r="43" spans="1:5" x14ac:dyDescent="0.2">
      <c r="A43">
        <v>42</v>
      </c>
      <c r="B43" t="str">
        <f>_xlfn.XLOOKUP($A43,'Player Template'!$C:$C,'Player Template'!R:R)</f>
        <v>Norway</v>
      </c>
      <c r="C43" t="str">
        <f>_xlfn.XLOOKUP($A43,'Player Template'!$C:$C,'Player Template'!U:U)</f>
        <v>Senegal</v>
      </c>
      <c r="D43">
        <f>_xlfn.XLOOKUP($A43,'Player Template'!$C:$C,'Player Template'!S:S)</f>
        <v>0</v>
      </c>
      <c r="E43">
        <f>_xlfn.XLOOKUP($A43,'Player Template'!$C:$C,'Player Template'!T:T)</f>
        <v>0</v>
      </c>
    </row>
    <row r="44" spans="1:5" x14ac:dyDescent="0.2">
      <c r="A44">
        <v>43</v>
      </c>
      <c r="B44" t="str">
        <f>_xlfn.XLOOKUP($A44,'Player Template'!$C:$C,'Player Template'!R:R)</f>
        <v>Argentina</v>
      </c>
      <c r="C44" t="str">
        <f>_xlfn.XLOOKUP($A44,'Player Template'!$C:$C,'Player Template'!U:U)</f>
        <v>Austria</v>
      </c>
      <c r="D44">
        <f>_xlfn.XLOOKUP($A44,'Player Template'!$C:$C,'Player Template'!S:S)</f>
        <v>0</v>
      </c>
      <c r="E44">
        <f>_xlfn.XLOOKUP($A44,'Player Template'!$C:$C,'Player Template'!T:T)</f>
        <v>0</v>
      </c>
    </row>
    <row r="45" spans="1:5" x14ac:dyDescent="0.2">
      <c r="A45">
        <v>44</v>
      </c>
      <c r="B45" t="str">
        <f>_xlfn.XLOOKUP($A45,'Player Template'!$C:$C,'Player Template'!R:R)</f>
        <v>Jordan</v>
      </c>
      <c r="C45" t="str">
        <f>_xlfn.XLOOKUP($A45,'Player Template'!$C:$C,'Player Template'!U:U)</f>
        <v>Algeria</v>
      </c>
      <c r="D45">
        <f>_xlfn.XLOOKUP($A45,'Player Template'!$C:$C,'Player Template'!S:S)</f>
        <v>0</v>
      </c>
      <c r="E45">
        <f>_xlfn.XLOOKUP($A45,'Player Template'!$C:$C,'Player Template'!T:T)</f>
        <v>0</v>
      </c>
    </row>
    <row r="46" spans="1:5" x14ac:dyDescent="0.2">
      <c r="A46">
        <v>45</v>
      </c>
      <c r="B46" t="str">
        <f>_xlfn.XLOOKUP($A46,'Player Template'!$C:$C,'Player Template'!R:R)</f>
        <v>England</v>
      </c>
      <c r="C46" t="str">
        <f>_xlfn.XLOOKUP($A46,'Player Template'!$C:$C,'Player Template'!U:U)</f>
        <v>Ghana</v>
      </c>
      <c r="D46">
        <f>_xlfn.XLOOKUP($A46,'Player Template'!$C:$C,'Player Template'!S:S)</f>
        <v>0</v>
      </c>
      <c r="E46">
        <f>_xlfn.XLOOKUP($A46,'Player Template'!$C:$C,'Player Template'!T:T)</f>
        <v>0</v>
      </c>
    </row>
    <row r="47" spans="1:5" x14ac:dyDescent="0.2">
      <c r="A47">
        <v>46</v>
      </c>
      <c r="B47" t="str">
        <f>_xlfn.XLOOKUP($A47,'Player Template'!$C:$C,'Player Template'!R:R)</f>
        <v>Panama</v>
      </c>
      <c r="C47" t="str">
        <f>_xlfn.XLOOKUP($A47,'Player Template'!$C:$C,'Player Template'!U:U)</f>
        <v>Croatia</v>
      </c>
      <c r="D47">
        <f>_xlfn.XLOOKUP($A47,'Player Template'!$C:$C,'Player Template'!S:S)</f>
        <v>0</v>
      </c>
      <c r="E47">
        <f>_xlfn.XLOOKUP($A47,'Player Template'!$C:$C,'Player Template'!T:T)</f>
        <v>0</v>
      </c>
    </row>
    <row r="48" spans="1:5" x14ac:dyDescent="0.2">
      <c r="A48">
        <v>47</v>
      </c>
      <c r="B48" t="str">
        <f>_xlfn.XLOOKUP($A48,'Player Template'!$C:$C,'Player Template'!R:R)</f>
        <v>Portugal</v>
      </c>
      <c r="C48" t="str">
        <f>_xlfn.XLOOKUP($A48,'Player Template'!$C:$C,'Player Template'!U:U)</f>
        <v>Uzbekistan</v>
      </c>
      <c r="D48">
        <f>_xlfn.XLOOKUP($A48,'Player Template'!$C:$C,'Player Template'!S:S)</f>
        <v>0</v>
      </c>
      <c r="E48">
        <f>_xlfn.XLOOKUP($A48,'Player Template'!$C:$C,'Player Template'!T:T)</f>
        <v>0</v>
      </c>
    </row>
    <row r="49" spans="1:5" x14ac:dyDescent="0.2">
      <c r="A49">
        <v>48</v>
      </c>
      <c r="B49" t="str">
        <f>_xlfn.XLOOKUP($A49,'Player Template'!$C:$C,'Player Template'!R:R)</f>
        <v>Colombia</v>
      </c>
      <c r="C49" t="str">
        <f>_xlfn.XLOOKUP($A49,'Player Template'!$C:$C,'Player Template'!U:U)</f>
        <v>Congo DR</v>
      </c>
      <c r="D49">
        <f>_xlfn.XLOOKUP($A49,'Player Template'!$C:$C,'Player Template'!S:S)</f>
        <v>0</v>
      </c>
      <c r="E49">
        <f>_xlfn.XLOOKUP($A49,'Player Template'!$C:$C,'Player Template'!T:T)</f>
        <v>0</v>
      </c>
    </row>
    <row r="50" spans="1:5" x14ac:dyDescent="0.2">
      <c r="A50">
        <v>49</v>
      </c>
      <c r="B50" t="str">
        <f>_xlfn.XLOOKUP($A50,'Player Template'!$C:$C,'Player Template'!R:R)</f>
        <v>Scotland</v>
      </c>
      <c r="C50" t="str">
        <f>_xlfn.XLOOKUP($A50,'Player Template'!$C:$C,'Player Template'!U:U)</f>
        <v>Brazil</v>
      </c>
      <c r="D50">
        <f>_xlfn.XLOOKUP($A50,'Player Template'!$C:$C,'Player Template'!S:S)</f>
        <v>0</v>
      </c>
      <c r="E50">
        <f>_xlfn.XLOOKUP($A50,'Player Template'!$C:$C,'Player Template'!T:T)</f>
        <v>0</v>
      </c>
    </row>
    <row r="51" spans="1:5" x14ac:dyDescent="0.2">
      <c r="A51">
        <v>50</v>
      </c>
      <c r="B51" t="str">
        <f>_xlfn.XLOOKUP($A51,'Player Template'!$C:$C,'Player Template'!R:R)</f>
        <v>Morocco</v>
      </c>
      <c r="C51" t="str">
        <f>_xlfn.XLOOKUP($A51,'Player Template'!$C:$C,'Player Template'!U:U)</f>
        <v>Haiti</v>
      </c>
      <c r="D51">
        <f>_xlfn.XLOOKUP($A51,'Player Template'!$C:$C,'Player Template'!S:S)</f>
        <v>0</v>
      </c>
      <c r="E51">
        <f>_xlfn.XLOOKUP($A51,'Player Template'!$C:$C,'Player Template'!T:T)</f>
        <v>0</v>
      </c>
    </row>
    <row r="52" spans="1:5" x14ac:dyDescent="0.2">
      <c r="A52">
        <v>51</v>
      </c>
      <c r="B52" t="str">
        <f>_xlfn.XLOOKUP($A52,'Player Template'!$C:$C,'Player Template'!R:R)</f>
        <v>Switzerland</v>
      </c>
      <c r="C52" t="str">
        <f>_xlfn.XLOOKUP($A52,'Player Template'!$C:$C,'Player Template'!U:U)</f>
        <v>Canada</v>
      </c>
      <c r="D52">
        <f>_xlfn.XLOOKUP($A52,'Player Template'!$C:$C,'Player Template'!S:S)</f>
        <v>0</v>
      </c>
      <c r="E52">
        <f>_xlfn.XLOOKUP($A52,'Player Template'!$C:$C,'Player Template'!T:T)</f>
        <v>0</v>
      </c>
    </row>
    <row r="53" spans="1:5" x14ac:dyDescent="0.2">
      <c r="A53">
        <v>52</v>
      </c>
      <c r="B53" t="str">
        <f>_xlfn.XLOOKUP($A53,'Player Template'!$C:$C,'Player Template'!R:R)</f>
        <v>Bosnia and Herzegovina</v>
      </c>
      <c r="C53" t="str">
        <f>_xlfn.XLOOKUP($A53,'Player Template'!$C:$C,'Player Template'!U:U)</f>
        <v>Qatar</v>
      </c>
      <c r="D53">
        <f>_xlfn.XLOOKUP($A53,'Player Template'!$C:$C,'Player Template'!S:S)</f>
        <v>0</v>
      </c>
      <c r="E53">
        <f>_xlfn.XLOOKUP($A53,'Player Template'!$C:$C,'Player Template'!T:T)</f>
        <v>0</v>
      </c>
    </row>
    <row r="54" spans="1:5" x14ac:dyDescent="0.2">
      <c r="A54">
        <v>53</v>
      </c>
      <c r="B54" t="str">
        <f>_xlfn.XLOOKUP($A54,'Player Template'!$C:$C,'Player Template'!R:R)</f>
        <v>Czechia</v>
      </c>
      <c r="C54" t="str">
        <f>_xlfn.XLOOKUP($A54,'Player Template'!$C:$C,'Player Template'!U:U)</f>
        <v>Mexico</v>
      </c>
      <c r="D54">
        <f>_xlfn.XLOOKUP($A54,'Player Template'!$C:$C,'Player Template'!S:S)</f>
        <v>0</v>
      </c>
      <c r="E54">
        <f>_xlfn.XLOOKUP($A54,'Player Template'!$C:$C,'Player Template'!T:T)</f>
        <v>0</v>
      </c>
    </row>
    <row r="55" spans="1:5" x14ac:dyDescent="0.2">
      <c r="A55">
        <v>54</v>
      </c>
      <c r="B55" t="str">
        <f>_xlfn.XLOOKUP($A55,'Player Template'!$C:$C,'Player Template'!R:R)</f>
        <v>South Africa</v>
      </c>
      <c r="C55" t="str">
        <f>_xlfn.XLOOKUP($A55,'Player Template'!$C:$C,'Player Template'!U:U)</f>
        <v>Korea Republic</v>
      </c>
      <c r="D55">
        <f>_xlfn.XLOOKUP($A55,'Player Template'!$C:$C,'Player Template'!S:S)</f>
        <v>0</v>
      </c>
      <c r="E55">
        <f>_xlfn.XLOOKUP($A55,'Player Template'!$C:$C,'Player Template'!T:T)</f>
        <v>0</v>
      </c>
    </row>
    <row r="56" spans="1:5" x14ac:dyDescent="0.2">
      <c r="A56">
        <v>55</v>
      </c>
      <c r="B56" t="str">
        <f>_xlfn.XLOOKUP($A56,'Player Template'!$C:$C,'Player Template'!R:R)</f>
        <v>Ecuador</v>
      </c>
      <c r="C56" t="str">
        <f>_xlfn.XLOOKUP($A56,'Player Template'!$C:$C,'Player Template'!U:U)</f>
        <v>Germany</v>
      </c>
      <c r="D56">
        <f>_xlfn.XLOOKUP($A56,'Player Template'!$C:$C,'Player Template'!S:S)</f>
        <v>0</v>
      </c>
      <c r="E56">
        <f>_xlfn.XLOOKUP($A56,'Player Template'!$C:$C,'Player Template'!T:T)</f>
        <v>0</v>
      </c>
    </row>
    <row r="57" spans="1:5" x14ac:dyDescent="0.2">
      <c r="A57">
        <v>56</v>
      </c>
      <c r="B57" t="str">
        <f>_xlfn.XLOOKUP($A57,'Player Template'!$C:$C,'Player Template'!R:R)</f>
        <v>Curaçao</v>
      </c>
      <c r="C57" t="str">
        <f>_xlfn.XLOOKUP($A57,'Player Template'!$C:$C,'Player Template'!U:U)</f>
        <v>Côte d'Ivoire</v>
      </c>
      <c r="D57">
        <f>_xlfn.XLOOKUP($A57,'Player Template'!$C:$C,'Player Template'!S:S)</f>
        <v>0</v>
      </c>
      <c r="E57">
        <f>_xlfn.XLOOKUP($A57,'Player Template'!$C:$C,'Player Template'!T:T)</f>
        <v>0</v>
      </c>
    </row>
    <row r="58" spans="1:5" x14ac:dyDescent="0.2">
      <c r="A58">
        <v>57</v>
      </c>
      <c r="B58" t="str">
        <f>_xlfn.XLOOKUP($A58,'Player Template'!$C:$C,'Player Template'!R:R)</f>
        <v>Tunisia</v>
      </c>
      <c r="C58" t="str">
        <f>_xlfn.XLOOKUP($A58,'Player Template'!$C:$C,'Player Template'!U:U)</f>
        <v>Netherlands</v>
      </c>
      <c r="D58">
        <f>_xlfn.XLOOKUP($A58,'Player Template'!$C:$C,'Player Template'!S:S)</f>
        <v>0</v>
      </c>
      <c r="E58">
        <f>_xlfn.XLOOKUP($A58,'Player Template'!$C:$C,'Player Template'!T:T)</f>
        <v>0</v>
      </c>
    </row>
    <row r="59" spans="1:5" x14ac:dyDescent="0.2">
      <c r="A59">
        <v>58</v>
      </c>
      <c r="B59" t="str">
        <f>_xlfn.XLOOKUP($A59,'Player Template'!$C:$C,'Player Template'!R:R)</f>
        <v>Japan</v>
      </c>
      <c r="C59" t="str">
        <f>_xlfn.XLOOKUP($A59,'Player Template'!$C:$C,'Player Template'!U:U)</f>
        <v>Sweden</v>
      </c>
      <c r="D59">
        <f>_xlfn.XLOOKUP($A59,'Player Template'!$C:$C,'Player Template'!S:S)</f>
        <v>0</v>
      </c>
      <c r="E59">
        <f>_xlfn.XLOOKUP($A59,'Player Template'!$C:$C,'Player Template'!T:T)</f>
        <v>0</v>
      </c>
    </row>
    <row r="60" spans="1:5" x14ac:dyDescent="0.2">
      <c r="A60">
        <v>59</v>
      </c>
      <c r="B60" t="str">
        <f>_xlfn.XLOOKUP($A60,'Player Template'!$C:$C,'Player Template'!R:R)</f>
        <v>Türkiye</v>
      </c>
      <c r="C60" t="str">
        <f>_xlfn.XLOOKUP($A60,'Player Template'!$C:$C,'Player Template'!U:U)</f>
        <v>USA</v>
      </c>
      <c r="D60">
        <f>_xlfn.XLOOKUP($A60,'Player Template'!$C:$C,'Player Template'!S:S)</f>
        <v>0</v>
      </c>
      <c r="E60">
        <f>_xlfn.XLOOKUP($A60,'Player Template'!$C:$C,'Player Template'!T:T)</f>
        <v>0</v>
      </c>
    </row>
    <row r="61" spans="1:5" x14ac:dyDescent="0.2">
      <c r="A61">
        <v>60</v>
      </c>
      <c r="B61" t="str">
        <f>_xlfn.XLOOKUP($A61,'Player Template'!$C:$C,'Player Template'!R:R)</f>
        <v>Paraguay</v>
      </c>
      <c r="C61" t="str">
        <f>_xlfn.XLOOKUP($A61,'Player Template'!$C:$C,'Player Template'!U:U)</f>
        <v>Australia</v>
      </c>
      <c r="D61">
        <f>_xlfn.XLOOKUP($A61,'Player Template'!$C:$C,'Player Template'!S:S)</f>
        <v>0</v>
      </c>
      <c r="E61">
        <f>_xlfn.XLOOKUP($A61,'Player Template'!$C:$C,'Player Template'!T:T)</f>
        <v>0</v>
      </c>
    </row>
    <row r="62" spans="1:5" x14ac:dyDescent="0.2">
      <c r="A62">
        <v>61</v>
      </c>
      <c r="B62" t="str">
        <f>_xlfn.XLOOKUP($A62,'Player Template'!$C:$C,'Player Template'!R:R)</f>
        <v>Norway</v>
      </c>
      <c r="C62" t="str">
        <f>_xlfn.XLOOKUP($A62,'Player Template'!$C:$C,'Player Template'!U:U)</f>
        <v>France</v>
      </c>
      <c r="D62">
        <f>_xlfn.XLOOKUP($A62,'Player Template'!$C:$C,'Player Template'!S:S)</f>
        <v>0</v>
      </c>
      <c r="E62">
        <f>_xlfn.XLOOKUP($A62,'Player Template'!$C:$C,'Player Template'!T:T)</f>
        <v>0</v>
      </c>
    </row>
    <row r="63" spans="1:5" x14ac:dyDescent="0.2">
      <c r="A63">
        <v>62</v>
      </c>
      <c r="B63" t="str">
        <f>_xlfn.XLOOKUP($A63,'Player Template'!$C:$C,'Player Template'!R:R)</f>
        <v>Senegal</v>
      </c>
      <c r="C63" t="str">
        <f>_xlfn.XLOOKUP($A63,'Player Template'!$C:$C,'Player Template'!U:U)</f>
        <v>Iraq</v>
      </c>
      <c r="D63">
        <f>_xlfn.XLOOKUP($A63,'Player Template'!$C:$C,'Player Template'!S:S)</f>
        <v>0</v>
      </c>
      <c r="E63">
        <f>_xlfn.XLOOKUP($A63,'Player Template'!$C:$C,'Player Template'!T:T)</f>
        <v>0</v>
      </c>
    </row>
    <row r="64" spans="1:5" x14ac:dyDescent="0.2">
      <c r="A64">
        <v>63</v>
      </c>
      <c r="B64" t="str">
        <f>_xlfn.XLOOKUP($A64,'Player Template'!$C:$C,'Player Template'!R:R)</f>
        <v>New Zealand</v>
      </c>
      <c r="C64" t="str">
        <f>_xlfn.XLOOKUP($A64,'Player Template'!$C:$C,'Player Template'!U:U)</f>
        <v>Belgium</v>
      </c>
      <c r="D64">
        <f>_xlfn.XLOOKUP($A64,'Player Template'!$C:$C,'Player Template'!S:S)</f>
        <v>0</v>
      </c>
      <c r="E64">
        <f>_xlfn.XLOOKUP($A64,'Player Template'!$C:$C,'Player Template'!T:T)</f>
        <v>0</v>
      </c>
    </row>
    <row r="65" spans="1:5" x14ac:dyDescent="0.2">
      <c r="A65">
        <v>64</v>
      </c>
      <c r="B65" t="str">
        <f>_xlfn.XLOOKUP($A65,'Player Template'!$C:$C,'Player Template'!R:R)</f>
        <v>Egypt</v>
      </c>
      <c r="C65" t="str">
        <f>_xlfn.XLOOKUP($A65,'Player Template'!$C:$C,'Player Template'!U:U)</f>
        <v>IR Iran</v>
      </c>
      <c r="D65">
        <f>_xlfn.XLOOKUP($A65,'Player Template'!$C:$C,'Player Template'!S:S)</f>
        <v>0</v>
      </c>
      <c r="E65">
        <f>_xlfn.XLOOKUP($A65,'Player Template'!$C:$C,'Player Template'!T:T)</f>
        <v>0</v>
      </c>
    </row>
    <row r="66" spans="1:5" x14ac:dyDescent="0.2">
      <c r="A66">
        <v>65</v>
      </c>
      <c r="B66" t="str">
        <f>_xlfn.XLOOKUP($A66,'Player Template'!$C:$C,'Player Template'!R:R)</f>
        <v>Uruguay</v>
      </c>
      <c r="C66" t="str">
        <f>_xlfn.XLOOKUP($A66,'Player Template'!$C:$C,'Player Template'!U:U)</f>
        <v>Spain</v>
      </c>
      <c r="D66">
        <f>_xlfn.XLOOKUP($A66,'Player Template'!$C:$C,'Player Template'!S:S)</f>
        <v>0</v>
      </c>
      <c r="E66">
        <f>_xlfn.XLOOKUP($A66,'Player Template'!$C:$C,'Player Template'!T:T)</f>
        <v>0</v>
      </c>
    </row>
    <row r="67" spans="1:5" x14ac:dyDescent="0.2">
      <c r="A67">
        <v>66</v>
      </c>
      <c r="B67" t="str">
        <f>_xlfn.XLOOKUP($A67,'Player Template'!$C:$C,'Player Template'!R:R)</f>
        <v>Cabo Verde</v>
      </c>
      <c r="C67" t="str">
        <f>_xlfn.XLOOKUP($A67,'Player Template'!$C:$C,'Player Template'!U:U)</f>
        <v>Saudi Arabia</v>
      </c>
      <c r="D67">
        <f>_xlfn.XLOOKUP($A67,'Player Template'!$C:$C,'Player Template'!S:S)</f>
        <v>0</v>
      </c>
      <c r="E67">
        <f>_xlfn.XLOOKUP($A67,'Player Template'!$C:$C,'Player Template'!T:T)</f>
        <v>0</v>
      </c>
    </row>
    <row r="68" spans="1:5" x14ac:dyDescent="0.2">
      <c r="A68">
        <v>67</v>
      </c>
      <c r="B68" t="str">
        <f>_xlfn.XLOOKUP($A68,'Player Template'!$C:$C,'Player Template'!R:R)</f>
        <v>Panama</v>
      </c>
      <c r="C68" t="str">
        <f>_xlfn.XLOOKUP($A68,'Player Template'!$C:$C,'Player Template'!U:U)</f>
        <v>England</v>
      </c>
      <c r="D68">
        <f>_xlfn.XLOOKUP($A68,'Player Template'!$C:$C,'Player Template'!S:S)</f>
        <v>0</v>
      </c>
      <c r="E68">
        <f>_xlfn.XLOOKUP($A68,'Player Template'!$C:$C,'Player Template'!T:T)</f>
        <v>0</v>
      </c>
    </row>
    <row r="69" spans="1:5" x14ac:dyDescent="0.2">
      <c r="A69">
        <v>68</v>
      </c>
      <c r="B69" t="str">
        <f>_xlfn.XLOOKUP($A69,'Player Template'!$C:$C,'Player Template'!R:R)</f>
        <v>Croatia</v>
      </c>
      <c r="C69" t="str">
        <f>_xlfn.XLOOKUP($A69,'Player Template'!$C:$C,'Player Template'!U:U)</f>
        <v>Ghana</v>
      </c>
      <c r="D69">
        <f>_xlfn.XLOOKUP($A69,'Player Template'!$C:$C,'Player Template'!S:S)</f>
        <v>0</v>
      </c>
      <c r="E69">
        <f>_xlfn.XLOOKUP($A69,'Player Template'!$C:$C,'Player Template'!T:T)</f>
        <v>0</v>
      </c>
    </row>
    <row r="70" spans="1:5" x14ac:dyDescent="0.2">
      <c r="A70">
        <v>69</v>
      </c>
      <c r="B70" t="str">
        <f>_xlfn.XLOOKUP($A70,'Player Template'!$C:$C,'Player Template'!R:R)</f>
        <v>Jordan</v>
      </c>
      <c r="C70" t="str">
        <f>_xlfn.XLOOKUP($A70,'Player Template'!$C:$C,'Player Template'!U:U)</f>
        <v>Argentina</v>
      </c>
      <c r="D70">
        <f>_xlfn.XLOOKUP($A70,'Player Template'!$C:$C,'Player Template'!S:S)</f>
        <v>0</v>
      </c>
      <c r="E70">
        <f>_xlfn.XLOOKUP($A70,'Player Template'!$C:$C,'Player Template'!T:T)</f>
        <v>0</v>
      </c>
    </row>
    <row r="71" spans="1:5" x14ac:dyDescent="0.2">
      <c r="A71">
        <v>70</v>
      </c>
      <c r="B71" t="str">
        <f>_xlfn.XLOOKUP($A71,'Player Template'!$C:$C,'Player Template'!R:R)</f>
        <v>Algeria</v>
      </c>
      <c r="C71" t="str">
        <f>_xlfn.XLOOKUP($A71,'Player Template'!$C:$C,'Player Template'!U:U)</f>
        <v>Austria</v>
      </c>
      <c r="D71">
        <f>_xlfn.XLOOKUP($A71,'Player Template'!$C:$C,'Player Template'!S:S)</f>
        <v>0</v>
      </c>
      <c r="E71">
        <f>_xlfn.XLOOKUP($A71,'Player Template'!$C:$C,'Player Template'!T:T)</f>
        <v>0</v>
      </c>
    </row>
    <row r="72" spans="1:5" x14ac:dyDescent="0.2">
      <c r="A72">
        <v>71</v>
      </c>
      <c r="B72" t="str">
        <f>_xlfn.XLOOKUP($A72,'Player Template'!$C:$C,'Player Template'!R:R)</f>
        <v>Colombia</v>
      </c>
      <c r="C72" t="str">
        <f>_xlfn.XLOOKUP($A72,'Player Template'!$C:$C,'Player Template'!U:U)</f>
        <v>Portugal</v>
      </c>
      <c r="D72">
        <f>_xlfn.XLOOKUP($A72,'Player Template'!$C:$C,'Player Template'!S:S)</f>
        <v>0</v>
      </c>
      <c r="E72">
        <f>_xlfn.XLOOKUP($A72,'Player Template'!$C:$C,'Player Template'!T:T)</f>
        <v>0</v>
      </c>
    </row>
    <row r="73" spans="1:5" x14ac:dyDescent="0.2">
      <c r="A73">
        <v>72</v>
      </c>
      <c r="B73" t="str">
        <f>_xlfn.XLOOKUP($A73,'Player Template'!$C:$C,'Player Template'!R:R)</f>
        <v>Congo DR</v>
      </c>
      <c r="C73" t="str">
        <f>_xlfn.XLOOKUP($A73,'Player Template'!$C:$C,'Player Template'!U:U)</f>
        <v>Uzbekistan</v>
      </c>
      <c r="D73">
        <f>_xlfn.XLOOKUP($A73,'Player Template'!$C:$C,'Player Template'!S:S)</f>
        <v>0</v>
      </c>
      <c r="E73">
        <f>_xlfn.XLOOKUP($A73,'Player Template'!$C:$C,'Player Template'!T:T)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0AD6-F099-446E-A12E-B4589215FBF3}">
  <dimension ref="A1:D49"/>
  <sheetViews>
    <sheetView workbookViewId="0"/>
  </sheetViews>
  <sheetFormatPr defaultRowHeight="14.25" x14ac:dyDescent="0.2"/>
  <cols>
    <col min="1" max="1" width="5.77734375" bestFit="1" customWidth="1"/>
    <col min="2" max="2" width="4.88671875" bestFit="1" customWidth="1"/>
    <col min="3" max="3" width="16.21875" bestFit="1" customWidth="1"/>
    <col min="4" max="4" width="17.6640625" bestFit="1" customWidth="1"/>
  </cols>
  <sheetData>
    <row r="1" spans="1:4" ht="15" x14ac:dyDescent="0.25">
      <c r="A1" s="10" t="s">
        <v>11</v>
      </c>
      <c r="B1" s="10" t="s">
        <v>37</v>
      </c>
      <c r="C1" s="9" t="s">
        <v>263</v>
      </c>
      <c r="D1" s="9" t="s">
        <v>38</v>
      </c>
    </row>
    <row r="2" spans="1:4" x14ac:dyDescent="0.2">
      <c r="A2" t="s">
        <v>34</v>
      </c>
      <c r="B2">
        <v>1</v>
      </c>
      <c r="C2" t="str">
        <f>CONCATENATE(A2,B2)</f>
        <v>A1</v>
      </c>
      <c r="D2" t="str">
        <f>_xlfn.XLOOKUP($C2,'Player Template'!$D:$D,'Player Template'!$X:$X)</f>
        <v>Mexico</v>
      </c>
    </row>
    <row r="3" spans="1:4" x14ac:dyDescent="0.2">
      <c r="A3" t="s">
        <v>34</v>
      </c>
      <c r="B3">
        <v>2</v>
      </c>
      <c r="C3" t="str">
        <f t="shared" ref="C3:C49" si="0">CONCATENATE(A3,B3)</f>
        <v>A2</v>
      </c>
      <c r="D3" t="str">
        <f>_xlfn.XLOOKUP($C3,'Player Template'!$D:$D,'Player Template'!$X:$X)</f>
        <v>South Africa</v>
      </c>
    </row>
    <row r="4" spans="1:4" x14ac:dyDescent="0.2">
      <c r="A4" t="s">
        <v>34</v>
      </c>
      <c r="B4">
        <v>3</v>
      </c>
      <c r="C4" t="str">
        <f t="shared" si="0"/>
        <v>A3</v>
      </c>
      <c r="D4" t="str">
        <f>_xlfn.XLOOKUP($C4,'Player Template'!$D:$D,'Player Template'!$X:$X)</f>
        <v>Korea Republic</v>
      </c>
    </row>
    <row r="5" spans="1:4" x14ac:dyDescent="0.2">
      <c r="A5" t="s">
        <v>34</v>
      </c>
      <c r="B5">
        <v>4</v>
      </c>
      <c r="C5" t="str">
        <f t="shared" si="0"/>
        <v>A4</v>
      </c>
      <c r="D5" t="str">
        <f>_xlfn.XLOOKUP($C5,'Player Template'!$D:$D,'Player Template'!$X:$X)</f>
        <v>Czechia</v>
      </c>
    </row>
    <row r="6" spans="1:4" x14ac:dyDescent="0.2">
      <c r="A6" t="s">
        <v>36</v>
      </c>
      <c r="B6">
        <v>1</v>
      </c>
      <c r="C6" t="str">
        <f t="shared" si="0"/>
        <v>B1</v>
      </c>
      <c r="D6" t="str">
        <f>_xlfn.XLOOKUP($C6,'Player Template'!$D:$D,'Player Template'!$X:$X)</f>
        <v>Canada</v>
      </c>
    </row>
    <row r="7" spans="1:4" x14ac:dyDescent="0.2">
      <c r="A7" t="s">
        <v>36</v>
      </c>
      <c r="B7">
        <v>2</v>
      </c>
      <c r="C7" t="str">
        <f t="shared" si="0"/>
        <v>B2</v>
      </c>
      <c r="D7" t="str">
        <f>_xlfn.XLOOKUP($C7,'Player Template'!$D:$D,'Player Template'!$X:$X)</f>
        <v>Bosnia and Herzegovina</v>
      </c>
    </row>
    <row r="8" spans="1:4" x14ac:dyDescent="0.2">
      <c r="A8" t="s">
        <v>36</v>
      </c>
      <c r="B8">
        <v>3</v>
      </c>
      <c r="C8" t="str">
        <f t="shared" si="0"/>
        <v>B3</v>
      </c>
      <c r="D8" t="str">
        <f>_xlfn.XLOOKUP($C8,'Player Template'!$D:$D,'Player Template'!$X:$X)</f>
        <v>Qatar</v>
      </c>
    </row>
    <row r="9" spans="1:4" x14ac:dyDescent="0.2">
      <c r="A9" t="s">
        <v>36</v>
      </c>
      <c r="B9">
        <v>4</v>
      </c>
      <c r="C9" t="str">
        <f t="shared" si="0"/>
        <v>B4</v>
      </c>
      <c r="D9" t="str">
        <f>_xlfn.XLOOKUP($C9,'Player Template'!$D:$D,'Player Template'!$X:$X)</f>
        <v>Switzerland</v>
      </c>
    </row>
    <row r="10" spans="1:4" x14ac:dyDescent="0.2">
      <c r="A10" t="s">
        <v>253</v>
      </c>
      <c r="B10">
        <v>1</v>
      </c>
      <c r="C10" t="str">
        <f t="shared" si="0"/>
        <v>C1</v>
      </c>
      <c r="D10" t="str">
        <f>_xlfn.XLOOKUP($C10,'Player Template'!$D:$D,'Player Template'!$X:$X)</f>
        <v>Brazil</v>
      </c>
    </row>
    <row r="11" spans="1:4" x14ac:dyDescent="0.2">
      <c r="A11" t="s">
        <v>253</v>
      </c>
      <c r="B11">
        <v>2</v>
      </c>
      <c r="C11" t="str">
        <f t="shared" si="0"/>
        <v>C2</v>
      </c>
      <c r="D11" t="str">
        <f>_xlfn.XLOOKUP($C11,'Player Template'!$D:$D,'Player Template'!$X:$X)</f>
        <v>Morocco</v>
      </c>
    </row>
    <row r="12" spans="1:4" x14ac:dyDescent="0.2">
      <c r="A12" t="s">
        <v>253</v>
      </c>
      <c r="B12">
        <v>3</v>
      </c>
      <c r="C12" t="str">
        <f t="shared" si="0"/>
        <v>C3</v>
      </c>
      <c r="D12" t="str">
        <f>_xlfn.XLOOKUP($C12,'Player Template'!$D:$D,'Player Template'!$X:$X)</f>
        <v>Haiti</v>
      </c>
    </row>
    <row r="13" spans="1:4" x14ac:dyDescent="0.2">
      <c r="A13" t="s">
        <v>253</v>
      </c>
      <c r="B13">
        <v>4</v>
      </c>
      <c r="C13" t="str">
        <f t="shared" si="0"/>
        <v>C4</v>
      </c>
      <c r="D13" t="str">
        <f>_xlfn.XLOOKUP($C13,'Player Template'!$D:$D,'Player Template'!$X:$X)</f>
        <v>Scotland</v>
      </c>
    </row>
    <row r="14" spans="1:4" x14ac:dyDescent="0.2">
      <c r="A14" t="s">
        <v>254</v>
      </c>
      <c r="B14">
        <v>1</v>
      </c>
      <c r="C14" t="str">
        <f t="shared" si="0"/>
        <v>D1</v>
      </c>
      <c r="D14" t="str">
        <f>_xlfn.XLOOKUP($C14,'Player Template'!$D:$D,'Player Template'!$X:$X)</f>
        <v>USA</v>
      </c>
    </row>
    <row r="15" spans="1:4" x14ac:dyDescent="0.2">
      <c r="A15" t="s">
        <v>254</v>
      </c>
      <c r="B15">
        <v>2</v>
      </c>
      <c r="C15" t="str">
        <f t="shared" si="0"/>
        <v>D2</v>
      </c>
      <c r="D15" t="str">
        <f>_xlfn.XLOOKUP($C15,'Player Template'!$D:$D,'Player Template'!$X:$X)</f>
        <v>Paraguay</v>
      </c>
    </row>
    <row r="16" spans="1:4" x14ac:dyDescent="0.2">
      <c r="A16" t="s">
        <v>254</v>
      </c>
      <c r="B16">
        <v>3</v>
      </c>
      <c r="C16" t="str">
        <f t="shared" si="0"/>
        <v>D3</v>
      </c>
      <c r="D16" t="str">
        <f>_xlfn.XLOOKUP($C16,'Player Template'!$D:$D,'Player Template'!$X:$X)</f>
        <v>Australia</v>
      </c>
    </row>
    <row r="17" spans="1:4" x14ac:dyDescent="0.2">
      <c r="A17" t="s">
        <v>254</v>
      </c>
      <c r="B17">
        <v>4</v>
      </c>
      <c r="C17" t="str">
        <f t="shared" si="0"/>
        <v>D4</v>
      </c>
      <c r="D17" t="str">
        <f>_xlfn.XLOOKUP($C17,'Player Template'!$D:$D,'Player Template'!$X:$X)</f>
        <v>Türkiye</v>
      </c>
    </row>
    <row r="18" spans="1:4" x14ac:dyDescent="0.2">
      <c r="A18" t="s">
        <v>255</v>
      </c>
      <c r="B18">
        <v>1</v>
      </c>
      <c r="C18" t="str">
        <f t="shared" si="0"/>
        <v>E1</v>
      </c>
      <c r="D18" t="str">
        <f>_xlfn.XLOOKUP($C18,'Player Template'!$D:$D,'Player Template'!$X:$X)</f>
        <v>Germany</v>
      </c>
    </row>
    <row r="19" spans="1:4" x14ac:dyDescent="0.2">
      <c r="A19" t="s">
        <v>255</v>
      </c>
      <c r="B19">
        <v>2</v>
      </c>
      <c r="C19" t="str">
        <f t="shared" si="0"/>
        <v>E2</v>
      </c>
      <c r="D19" t="str">
        <f>_xlfn.XLOOKUP($C19,'Player Template'!$D:$D,'Player Template'!$X:$X)</f>
        <v>Curaçao</v>
      </c>
    </row>
    <row r="20" spans="1:4" x14ac:dyDescent="0.2">
      <c r="A20" t="s">
        <v>255</v>
      </c>
      <c r="B20">
        <v>3</v>
      </c>
      <c r="C20" t="str">
        <f t="shared" si="0"/>
        <v>E3</v>
      </c>
      <c r="D20" t="str">
        <f>_xlfn.XLOOKUP($C20,'Player Template'!$D:$D,'Player Template'!$X:$X)</f>
        <v>Côte d'Ivoire</v>
      </c>
    </row>
    <row r="21" spans="1:4" x14ac:dyDescent="0.2">
      <c r="A21" t="s">
        <v>255</v>
      </c>
      <c r="B21">
        <v>4</v>
      </c>
      <c r="C21" t="str">
        <f t="shared" si="0"/>
        <v>E4</v>
      </c>
      <c r="D21" t="str">
        <f>_xlfn.XLOOKUP($C21,'Player Template'!$D:$D,'Player Template'!$X:$X)</f>
        <v>Ecuador</v>
      </c>
    </row>
    <row r="22" spans="1:4" x14ac:dyDescent="0.2">
      <c r="A22" t="s">
        <v>256</v>
      </c>
      <c r="B22">
        <v>1</v>
      </c>
      <c r="C22" t="str">
        <f t="shared" si="0"/>
        <v>F1</v>
      </c>
      <c r="D22" t="str">
        <f>_xlfn.XLOOKUP($C22,'Player Template'!$D:$D,'Player Template'!$X:$X)</f>
        <v>Netherlands</v>
      </c>
    </row>
    <row r="23" spans="1:4" x14ac:dyDescent="0.2">
      <c r="A23" t="s">
        <v>256</v>
      </c>
      <c r="B23">
        <v>2</v>
      </c>
      <c r="C23" t="str">
        <f t="shared" si="0"/>
        <v>F2</v>
      </c>
      <c r="D23" t="str">
        <f>_xlfn.XLOOKUP($C23,'Player Template'!$D:$D,'Player Template'!$X:$X)</f>
        <v>Japan</v>
      </c>
    </row>
    <row r="24" spans="1:4" x14ac:dyDescent="0.2">
      <c r="A24" t="s">
        <v>256</v>
      </c>
      <c r="B24">
        <v>3</v>
      </c>
      <c r="C24" t="str">
        <f t="shared" si="0"/>
        <v>F3</v>
      </c>
      <c r="D24" t="str">
        <f>_xlfn.XLOOKUP($C24,'Player Template'!$D:$D,'Player Template'!$X:$X)</f>
        <v>Sweden</v>
      </c>
    </row>
    <row r="25" spans="1:4" x14ac:dyDescent="0.2">
      <c r="A25" t="s">
        <v>256</v>
      </c>
      <c r="B25">
        <v>4</v>
      </c>
      <c r="C25" t="str">
        <f t="shared" si="0"/>
        <v>F4</v>
      </c>
      <c r="D25" t="str">
        <f>_xlfn.XLOOKUP($C25,'Player Template'!$D:$D,'Player Template'!$X:$X)</f>
        <v>Tunisia</v>
      </c>
    </row>
    <row r="26" spans="1:4" x14ac:dyDescent="0.2">
      <c r="A26" t="s">
        <v>257</v>
      </c>
      <c r="B26">
        <v>1</v>
      </c>
      <c r="C26" t="str">
        <f t="shared" si="0"/>
        <v>G1</v>
      </c>
      <c r="D26" t="str">
        <f>_xlfn.XLOOKUP($C26,'Player Template'!$D:$D,'Player Template'!$X:$X)</f>
        <v>Belgium</v>
      </c>
    </row>
    <row r="27" spans="1:4" x14ac:dyDescent="0.2">
      <c r="A27" t="s">
        <v>257</v>
      </c>
      <c r="B27">
        <v>2</v>
      </c>
      <c r="C27" t="str">
        <f t="shared" si="0"/>
        <v>G2</v>
      </c>
      <c r="D27" t="str">
        <f>_xlfn.XLOOKUP($C27,'Player Template'!$D:$D,'Player Template'!$X:$X)</f>
        <v>Egypt</v>
      </c>
    </row>
    <row r="28" spans="1:4" x14ac:dyDescent="0.2">
      <c r="A28" t="s">
        <v>257</v>
      </c>
      <c r="B28">
        <v>3</v>
      </c>
      <c r="C28" t="str">
        <f t="shared" si="0"/>
        <v>G3</v>
      </c>
      <c r="D28" t="str">
        <f>_xlfn.XLOOKUP($C28,'Player Template'!$D:$D,'Player Template'!$X:$X)</f>
        <v>IR Iran</v>
      </c>
    </row>
    <row r="29" spans="1:4" x14ac:dyDescent="0.2">
      <c r="A29" t="s">
        <v>257</v>
      </c>
      <c r="B29">
        <v>4</v>
      </c>
      <c r="C29" t="str">
        <f t="shared" si="0"/>
        <v>G4</v>
      </c>
      <c r="D29" t="str">
        <f>_xlfn.XLOOKUP($C29,'Player Template'!$D:$D,'Player Template'!$X:$X)</f>
        <v>New Zealand</v>
      </c>
    </row>
    <row r="30" spans="1:4" x14ac:dyDescent="0.2">
      <c r="A30" t="s">
        <v>258</v>
      </c>
      <c r="B30">
        <v>1</v>
      </c>
      <c r="C30" t="str">
        <f t="shared" si="0"/>
        <v>H1</v>
      </c>
      <c r="D30" t="str">
        <f>_xlfn.XLOOKUP($C30,'Player Template'!$D:$D,'Player Template'!$X:$X)</f>
        <v>Spain</v>
      </c>
    </row>
    <row r="31" spans="1:4" x14ac:dyDescent="0.2">
      <c r="A31" t="s">
        <v>258</v>
      </c>
      <c r="B31">
        <v>2</v>
      </c>
      <c r="C31" t="str">
        <f t="shared" si="0"/>
        <v>H2</v>
      </c>
      <c r="D31" t="str">
        <f>_xlfn.XLOOKUP($C31,'Player Template'!$D:$D,'Player Template'!$X:$X)</f>
        <v>Cabo Verde</v>
      </c>
    </row>
    <row r="32" spans="1:4" x14ac:dyDescent="0.2">
      <c r="A32" t="s">
        <v>258</v>
      </c>
      <c r="B32">
        <v>3</v>
      </c>
      <c r="C32" t="str">
        <f t="shared" si="0"/>
        <v>H3</v>
      </c>
      <c r="D32" t="str">
        <f>_xlfn.XLOOKUP($C32,'Player Template'!$D:$D,'Player Template'!$X:$X)</f>
        <v>Saudi Arabia</v>
      </c>
    </row>
    <row r="33" spans="1:4" x14ac:dyDescent="0.2">
      <c r="A33" t="s">
        <v>258</v>
      </c>
      <c r="B33">
        <v>4</v>
      </c>
      <c r="C33" t="str">
        <f t="shared" si="0"/>
        <v>H4</v>
      </c>
      <c r="D33" t="str">
        <f>_xlfn.XLOOKUP($C33,'Player Template'!$D:$D,'Player Template'!$X:$X)</f>
        <v>Uruguay</v>
      </c>
    </row>
    <row r="34" spans="1:4" x14ac:dyDescent="0.2">
      <c r="A34" t="s">
        <v>259</v>
      </c>
      <c r="B34">
        <v>1</v>
      </c>
      <c r="C34" t="str">
        <f t="shared" si="0"/>
        <v>I1</v>
      </c>
      <c r="D34" t="str">
        <f>_xlfn.XLOOKUP($C34,'Player Template'!$D:$D,'Player Template'!$X:$X)</f>
        <v>France</v>
      </c>
    </row>
    <row r="35" spans="1:4" x14ac:dyDescent="0.2">
      <c r="A35" t="s">
        <v>259</v>
      </c>
      <c r="B35">
        <v>2</v>
      </c>
      <c r="C35" t="str">
        <f t="shared" si="0"/>
        <v>I2</v>
      </c>
      <c r="D35" t="str">
        <f>_xlfn.XLOOKUP($C35,'Player Template'!$D:$D,'Player Template'!$X:$X)</f>
        <v>Senegal</v>
      </c>
    </row>
    <row r="36" spans="1:4" x14ac:dyDescent="0.2">
      <c r="A36" t="s">
        <v>259</v>
      </c>
      <c r="B36">
        <v>3</v>
      </c>
      <c r="C36" t="str">
        <f t="shared" si="0"/>
        <v>I3</v>
      </c>
      <c r="D36" t="str">
        <f>_xlfn.XLOOKUP($C36,'Player Template'!$D:$D,'Player Template'!$X:$X)</f>
        <v>Iraq</v>
      </c>
    </row>
    <row r="37" spans="1:4" x14ac:dyDescent="0.2">
      <c r="A37" t="s">
        <v>259</v>
      </c>
      <c r="B37">
        <v>4</v>
      </c>
      <c r="C37" t="str">
        <f t="shared" si="0"/>
        <v>I4</v>
      </c>
      <c r="D37" t="str">
        <f>_xlfn.XLOOKUP($C37,'Player Template'!$D:$D,'Player Template'!$X:$X)</f>
        <v>Norway</v>
      </c>
    </row>
    <row r="38" spans="1:4" x14ac:dyDescent="0.2">
      <c r="A38" t="s">
        <v>260</v>
      </c>
      <c r="B38">
        <v>1</v>
      </c>
      <c r="C38" t="str">
        <f t="shared" si="0"/>
        <v>J1</v>
      </c>
      <c r="D38" t="str">
        <f>_xlfn.XLOOKUP($C38,'Player Template'!$D:$D,'Player Template'!$X:$X)</f>
        <v>Argentina</v>
      </c>
    </row>
    <row r="39" spans="1:4" x14ac:dyDescent="0.2">
      <c r="A39" t="s">
        <v>260</v>
      </c>
      <c r="B39">
        <v>2</v>
      </c>
      <c r="C39" t="str">
        <f t="shared" si="0"/>
        <v>J2</v>
      </c>
      <c r="D39" t="str">
        <f>_xlfn.XLOOKUP($C39,'Player Template'!$D:$D,'Player Template'!$X:$X)</f>
        <v>Algeria</v>
      </c>
    </row>
    <row r="40" spans="1:4" x14ac:dyDescent="0.2">
      <c r="A40" t="s">
        <v>260</v>
      </c>
      <c r="B40">
        <v>3</v>
      </c>
      <c r="C40" t="str">
        <f t="shared" si="0"/>
        <v>J3</v>
      </c>
      <c r="D40" t="str">
        <f>_xlfn.XLOOKUP($C40,'Player Template'!$D:$D,'Player Template'!$X:$X)</f>
        <v>Austria</v>
      </c>
    </row>
    <row r="41" spans="1:4" x14ac:dyDescent="0.2">
      <c r="A41" t="s">
        <v>260</v>
      </c>
      <c r="B41">
        <v>4</v>
      </c>
      <c r="C41" t="str">
        <f t="shared" si="0"/>
        <v>J4</v>
      </c>
      <c r="D41" t="str">
        <f>_xlfn.XLOOKUP($C41,'Player Template'!$D:$D,'Player Template'!$X:$X)</f>
        <v>Jordan</v>
      </c>
    </row>
    <row r="42" spans="1:4" x14ac:dyDescent="0.2">
      <c r="A42" t="s">
        <v>261</v>
      </c>
      <c r="B42">
        <v>1</v>
      </c>
      <c r="C42" t="str">
        <f t="shared" si="0"/>
        <v>K1</v>
      </c>
      <c r="D42" t="str">
        <f>_xlfn.XLOOKUP($C42,'Player Template'!$D:$D,'Player Template'!$X:$X)</f>
        <v>Portugal</v>
      </c>
    </row>
    <row r="43" spans="1:4" x14ac:dyDescent="0.2">
      <c r="A43" t="s">
        <v>261</v>
      </c>
      <c r="B43">
        <v>2</v>
      </c>
      <c r="C43" t="str">
        <f t="shared" si="0"/>
        <v>K2</v>
      </c>
      <c r="D43" t="str">
        <f>_xlfn.XLOOKUP($C43,'Player Template'!$D:$D,'Player Template'!$X:$X)</f>
        <v>Congo DR</v>
      </c>
    </row>
    <row r="44" spans="1:4" x14ac:dyDescent="0.2">
      <c r="A44" t="s">
        <v>261</v>
      </c>
      <c r="B44">
        <v>3</v>
      </c>
      <c r="C44" t="str">
        <f t="shared" si="0"/>
        <v>K3</v>
      </c>
      <c r="D44" t="str">
        <f>_xlfn.XLOOKUP($C44,'Player Template'!$D:$D,'Player Template'!$X:$X)</f>
        <v>Uzbekistan</v>
      </c>
    </row>
    <row r="45" spans="1:4" x14ac:dyDescent="0.2">
      <c r="A45" t="s">
        <v>261</v>
      </c>
      <c r="B45">
        <v>4</v>
      </c>
      <c r="C45" t="str">
        <f t="shared" si="0"/>
        <v>K4</v>
      </c>
      <c r="D45" t="str">
        <f>_xlfn.XLOOKUP($C45,'Player Template'!$D:$D,'Player Template'!$X:$X)</f>
        <v>Colombia</v>
      </c>
    </row>
    <row r="46" spans="1:4" x14ac:dyDescent="0.2">
      <c r="A46" t="s">
        <v>262</v>
      </c>
      <c r="B46">
        <v>1</v>
      </c>
      <c r="C46" t="str">
        <f t="shared" si="0"/>
        <v>L1</v>
      </c>
      <c r="D46" t="str">
        <f>_xlfn.XLOOKUP($C46,'Player Template'!$D:$D,'Player Template'!$X:$X)</f>
        <v>England</v>
      </c>
    </row>
    <row r="47" spans="1:4" x14ac:dyDescent="0.2">
      <c r="A47" t="s">
        <v>262</v>
      </c>
      <c r="B47">
        <v>2</v>
      </c>
      <c r="C47" t="str">
        <f t="shared" si="0"/>
        <v>L2</v>
      </c>
      <c r="D47" t="str">
        <f>_xlfn.XLOOKUP($C47,'Player Template'!$D:$D,'Player Template'!$X:$X)</f>
        <v>Croatia</v>
      </c>
    </row>
    <row r="48" spans="1:4" x14ac:dyDescent="0.2">
      <c r="A48" t="s">
        <v>262</v>
      </c>
      <c r="B48">
        <v>3</v>
      </c>
      <c r="C48" t="str">
        <f t="shared" si="0"/>
        <v>L3</v>
      </c>
      <c r="D48" t="str">
        <f>_xlfn.XLOOKUP($C48,'Player Template'!$D:$D,'Player Template'!$X:$X)</f>
        <v>Ghana</v>
      </c>
    </row>
    <row r="49" spans="1:4" x14ac:dyDescent="0.2">
      <c r="A49" t="s">
        <v>262</v>
      </c>
      <c r="B49">
        <v>4</v>
      </c>
      <c r="C49" t="str">
        <f t="shared" si="0"/>
        <v>L4</v>
      </c>
      <c r="D49" t="str">
        <f>_xlfn.XLOOKUP($C49,'Player Template'!$D:$D,'Player Template'!$X:$X)</f>
        <v>Panama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479B-7050-4EFD-B32A-0CE6C7793A73}">
  <dimension ref="A1:U28"/>
  <sheetViews>
    <sheetView showGridLines="0" zoomScale="80" zoomScaleNormal="80" workbookViewId="0"/>
  </sheetViews>
  <sheetFormatPr defaultColWidth="9.77734375" defaultRowHeight="14.25" outlineLevelCol="1" x14ac:dyDescent="0.2"/>
  <cols>
    <col min="1" max="1" width="0.88671875" style="2" customWidth="1"/>
    <col min="2" max="2" width="30.77734375" style="2" customWidth="1"/>
    <col min="3" max="5" width="9.77734375" style="6" hidden="1" customWidth="1" outlineLevel="1"/>
    <col min="6" max="6" width="9.77734375" style="2" collapsed="1"/>
    <col min="7" max="10" width="9.77734375" style="2"/>
    <col min="11" max="11" width="0.88671875" style="2" customWidth="1"/>
    <col min="12" max="12" width="9.77734375" style="2"/>
    <col min="13" max="13" width="0.88671875" style="2" customWidth="1"/>
    <col min="14" max="15" width="9.77734375" style="2"/>
    <col min="16" max="16" width="0.88671875" style="2" customWidth="1"/>
    <col min="17" max="17" width="13" style="2" bestFit="1" customWidth="1"/>
    <col min="18" max="16384" width="9.77734375" style="2"/>
  </cols>
  <sheetData>
    <row r="1" spans="1:17" ht="15" x14ac:dyDescent="0.25">
      <c r="A1" s="1" t="s">
        <v>189</v>
      </c>
    </row>
    <row r="2" spans="1:17" ht="15" x14ac:dyDescent="0.25">
      <c r="A2" s="24" t="s">
        <v>220</v>
      </c>
    </row>
    <row r="3" spans="1:17" x14ac:dyDescent="0.2">
      <c r="A3" s="2" t="str">
        <f ca="1">MID(CELL("filename",A1),FIND("]",CELL("filename",A1))+1,50)</f>
        <v>Best 3rds calculation</v>
      </c>
    </row>
    <row r="4" spans="1:17" x14ac:dyDescent="0.2">
      <c r="B4" s="3" t="s">
        <v>0</v>
      </c>
    </row>
    <row r="5" spans="1:17" x14ac:dyDescent="0.2">
      <c r="B5" s="4" t="s">
        <v>218</v>
      </c>
    </row>
    <row r="6" spans="1:17" ht="3" customHeight="1" x14ac:dyDescent="0.2"/>
    <row r="7" spans="1:17" ht="15" x14ac:dyDescent="0.25">
      <c r="B7" s="1" t="s">
        <v>1</v>
      </c>
    </row>
    <row r="8" spans="1:17" x14ac:dyDescent="0.2">
      <c r="B8" s="5" t="s">
        <v>2</v>
      </c>
    </row>
    <row r="13" spans="1:17" customFormat="1" ht="15" thickBot="1" x14ac:dyDescent="0.25">
      <c r="C13" s="6"/>
      <c r="D13" s="6"/>
      <c r="E13" s="6"/>
    </row>
    <row r="14" spans="1:17" ht="15" x14ac:dyDescent="0.25">
      <c r="B14" s="8" t="s">
        <v>180</v>
      </c>
      <c r="C14" s="29"/>
      <c r="D14" s="29"/>
      <c r="E14" s="29"/>
      <c r="F14" s="10" t="s">
        <v>177</v>
      </c>
      <c r="G14" s="10" t="s">
        <v>181</v>
      </c>
      <c r="H14" s="10" t="s">
        <v>182</v>
      </c>
      <c r="I14" s="10" t="s">
        <v>254</v>
      </c>
      <c r="J14" s="30" t="s">
        <v>183</v>
      </c>
      <c r="L14" s="31" t="s">
        <v>37</v>
      </c>
      <c r="N14" s="32" t="s">
        <v>184</v>
      </c>
      <c r="O14" s="10" t="s">
        <v>185</v>
      </c>
      <c r="Q14" s="9" t="s">
        <v>186</v>
      </c>
    </row>
    <row r="15" spans="1:17" x14ac:dyDescent="0.2">
      <c r="B15" s="2" t="str">
        <f>_xlfn.XLOOKUP(C15,'Player Template'!$D:$D,'Player Template'!$X:$X)</f>
        <v>Korea Republic</v>
      </c>
      <c r="C15" s="6" t="s">
        <v>75</v>
      </c>
      <c r="D15" s="6" t="str">
        <f>LEFT(C15,1)</f>
        <v>A</v>
      </c>
      <c r="E15" s="6">
        <v>1E-8</v>
      </c>
      <c r="F15" s="2">
        <f>_xlfn.XLOOKUP($C15,'Player Template'!$D:$D,'Player Template'!Y:Y)</f>
        <v>0</v>
      </c>
      <c r="G15" s="2">
        <f>_xlfn.XLOOKUP($C15,'Player Template'!$D:$D,'Player Template'!AB:AB)</f>
        <v>0</v>
      </c>
      <c r="H15" s="2">
        <f>_xlfn.XLOOKUP($C15,'Player Template'!$D:$D,'Player Template'!Z:Z)</f>
        <v>0</v>
      </c>
      <c r="I15" s="2">
        <v>12</v>
      </c>
      <c r="J15" s="33">
        <f t="shared" ref="J15:J26" si="0">F15+G15/100+H15/10000+I15/1000000</f>
        <v>1.2E-5</v>
      </c>
      <c r="L15" s="34">
        <f t="shared" ref="L15:L26" si="1">RANK(J15,J$15:J$26)</f>
        <v>1</v>
      </c>
      <c r="N15" s="2">
        <f>IF(L15=8,J15+E15,J15)</f>
        <v>1.2E-5</v>
      </c>
      <c r="O15" s="2">
        <f>RANK(N15,$N$15:$N$26)</f>
        <v>1</v>
      </c>
      <c r="Q15" s="2" t="str">
        <f>IF(O15&lt;9,D15,"")</f>
        <v>A</v>
      </c>
    </row>
    <row r="16" spans="1:17" x14ac:dyDescent="0.2">
      <c r="B16" s="2" t="str">
        <f>_xlfn.XLOOKUP(C16,'Player Template'!$D:$D,'Player Template'!$X:$X)</f>
        <v>Qatar</v>
      </c>
      <c r="C16" s="6" t="s">
        <v>84</v>
      </c>
      <c r="D16" s="6" t="str">
        <f t="shared" ref="D16:D26" si="2">LEFT(C16,1)</f>
        <v>B</v>
      </c>
      <c r="E16" s="6">
        <f>E15/10</f>
        <v>1.0000000000000001E-9</v>
      </c>
      <c r="F16" s="2">
        <f>_xlfn.XLOOKUP($C16,'Player Template'!$D:$D,'Player Template'!Y:Y)</f>
        <v>0</v>
      </c>
      <c r="G16" s="2">
        <f>_xlfn.XLOOKUP($C16,'Player Template'!$D:$D,'Player Template'!AB:AB)</f>
        <v>0</v>
      </c>
      <c r="H16" s="2">
        <f>_xlfn.XLOOKUP($C16,'Player Template'!$D:$D,'Player Template'!Z:Z)</f>
        <v>0</v>
      </c>
      <c r="I16" s="2">
        <f t="shared" ref="I16:I26" si="3">I15-1</f>
        <v>11</v>
      </c>
      <c r="J16" s="33">
        <f t="shared" si="0"/>
        <v>1.1E-5</v>
      </c>
      <c r="L16" s="34">
        <f t="shared" si="1"/>
        <v>2</v>
      </c>
      <c r="N16" s="2">
        <f>IF(L16=8,J16+E16,J16)</f>
        <v>1.1E-5</v>
      </c>
      <c r="O16" s="2">
        <f t="shared" ref="O16:O26" si="4">RANK(N16,$N$15:$N$26)</f>
        <v>2</v>
      </c>
      <c r="Q16" s="2" t="str">
        <f t="shared" ref="Q16:Q26" si="5">IF(O16&lt;9,D16,"")</f>
        <v>B</v>
      </c>
    </row>
    <row r="17" spans="2:21" x14ac:dyDescent="0.2">
      <c r="B17" s="2" t="str">
        <f>_xlfn.XLOOKUP(C17,'Player Template'!$D:$D,'Player Template'!$X:$X)</f>
        <v>Haiti</v>
      </c>
      <c r="C17" s="6" t="s">
        <v>93</v>
      </c>
      <c r="D17" s="6" t="str">
        <f t="shared" si="2"/>
        <v>C</v>
      </c>
      <c r="E17" s="6">
        <f t="shared" ref="E17:E26" si="6">E16/10</f>
        <v>1E-10</v>
      </c>
      <c r="F17" s="2">
        <f>_xlfn.XLOOKUP($C17,'Player Template'!$D:$D,'Player Template'!Y:Y)</f>
        <v>0</v>
      </c>
      <c r="G17" s="2">
        <f>_xlfn.XLOOKUP($C17,'Player Template'!$D:$D,'Player Template'!AB:AB)</f>
        <v>0</v>
      </c>
      <c r="H17" s="2">
        <f>_xlfn.XLOOKUP($C17,'Player Template'!$D:$D,'Player Template'!Z:Z)</f>
        <v>0</v>
      </c>
      <c r="I17" s="2">
        <f t="shared" si="3"/>
        <v>10</v>
      </c>
      <c r="J17" s="33">
        <f t="shared" si="0"/>
        <v>1.0000000000000001E-5</v>
      </c>
      <c r="L17" s="34">
        <f t="shared" si="1"/>
        <v>3</v>
      </c>
      <c r="N17" s="2">
        <f t="shared" ref="N17:N26" si="7">IF(L17=8,J17+E17,J17)</f>
        <v>1.0000000000000001E-5</v>
      </c>
      <c r="O17" s="2">
        <f t="shared" si="4"/>
        <v>3</v>
      </c>
      <c r="Q17" s="2" t="str">
        <f t="shared" si="5"/>
        <v>C</v>
      </c>
    </row>
    <row r="18" spans="2:21" x14ac:dyDescent="0.2">
      <c r="B18" s="2" t="str">
        <f>_xlfn.XLOOKUP(C18,'Player Template'!$D:$D,'Player Template'!$X:$X)</f>
        <v>Australia</v>
      </c>
      <c r="C18" s="6" t="s">
        <v>102</v>
      </c>
      <c r="D18" s="6" t="str">
        <f t="shared" si="2"/>
        <v>D</v>
      </c>
      <c r="E18" s="6">
        <f t="shared" si="6"/>
        <v>1.0000000000000001E-11</v>
      </c>
      <c r="F18" s="2">
        <f>_xlfn.XLOOKUP($C18,'Player Template'!$D:$D,'Player Template'!Y:Y)</f>
        <v>0</v>
      </c>
      <c r="G18" s="2">
        <f>_xlfn.XLOOKUP($C18,'Player Template'!$D:$D,'Player Template'!AB:AB)</f>
        <v>0</v>
      </c>
      <c r="H18" s="2">
        <f>_xlfn.XLOOKUP($C18,'Player Template'!$D:$D,'Player Template'!Z:Z)</f>
        <v>0</v>
      </c>
      <c r="I18" s="2">
        <f t="shared" si="3"/>
        <v>9</v>
      </c>
      <c r="J18" s="33">
        <f t="shared" si="0"/>
        <v>9.0000000000000002E-6</v>
      </c>
      <c r="L18" s="34">
        <f t="shared" si="1"/>
        <v>4</v>
      </c>
      <c r="N18" s="2">
        <f t="shared" si="7"/>
        <v>9.0000000000000002E-6</v>
      </c>
      <c r="O18" s="2">
        <f t="shared" si="4"/>
        <v>4</v>
      </c>
      <c r="Q18" s="2" t="str">
        <f t="shared" si="5"/>
        <v>D</v>
      </c>
    </row>
    <row r="19" spans="2:21" x14ac:dyDescent="0.2">
      <c r="B19" s="2" t="str">
        <f>_xlfn.XLOOKUP(C19,'Player Template'!$D:$D,'Player Template'!$X:$X)</f>
        <v>Côte d'Ivoire</v>
      </c>
      <c r="C19" s="6" t="s">
        <v>111</v>
      </c>
      <c r="D19" s="6" t="str">
        <f t="shared" si="2"/>
        <v>E</v>
      </c>
      <c r="E19" s="6">
        <f t="shared" si="6"/>
        <v>1.0000000000000002E-12</v>
      </c>
      <c r="F19" s="2">
        <f>_xlfn.XLOOKUP($C19,'Player Template'!$D:$D,'Player Template'!Y:Y)</f>
        <v>0</v>
      </c>
      <c r="G19" s="2">
        <f>_xlfn.XLOOKUP($C19,'Player Template'!$D:$D,'Player Template'!AB:AB)</f>
        <v>0</v>
      </c>
      <c r="H19" s="2">
        <f>_xlfn.XLOOKUP($C19,'Player Template'!$D:$D,'Player Template'!Z:Z)</f>
        <v>0</v>
      </c>
      <c r="I19" s="2">
        <f t="shared" si="3"/>
        <v>8</v>
      </c>
      <c r="J19" s="33">
        <f t="shared" si="0"/>
        <v>7.9999999999999996E-6</v>
      </c>
      <c r="L19" s="34">
        <f t="shared" si="1"/>
        <v>5</v>
      </c>
      <c r="N19" s="2">
        <f t="shared" si="7"/>
        <v>7.9999999999999996E-6</v>
      </c>
      <c r="O19" s="2">
        <f t="shared" si="4"/>
        <v>5</v>
      </c>
      <c r="Q19" s="2" t="str">
        <f t="shared" si="5"/>
        <v>E</v>
      </c>
    </row>
    <row r="20" spans="2:21" x14ac:dyDescent="0.2">
      <c r="B20" s="2" t="str">
        <f>_xlfn.XLOOKUP(C20,'Player Template'!$D:$D,'Player Template'!$X:$X)</f>
        <v>Sweden</v>
      </c>
      <c r="C20" s="6" t="s">
        <v>120</v>
      </c>
      <c r="D20" s="6" t="str">
        <f t="shared" si="2"/>
        <v>F</v>
      </c>
      <c r="E20" s="6">
        <f t="shared" si="6"/>
        <v>1.0000000000000002E-13</v>
      </c>
      <c r="F20" s="2">
        <f>_xlfn.XLOOKUP($C20,'Player Template'!$D:$D,'Player Template'!Y:Y)</f>
        <v>0</v>
      </c>
      <c r="G20" s="2">
        <f>_xlfn.XLOOKUP($C20,'Player Template'!$D:$D,'Player Template'!AB:AB)</f>
        <v>0</v>
      </c>
      <c r="H20" s="2">
        <f>_xlfn.XLOOKUP($C20,'Player Template'!$D:$D,'Player Template'!Z:Z)</f>
        <v>0</v>
      </c>
      <c r="I20" s="2">
        <f t="shared" si="3"/>
        <v>7</v>
      </c>
      <c r="J20" s="33">
        <f t="shared" si="0"/>
        <v>6.9999999999999999E-6</v>
      </c>
      <c r="L20" s="34">
        <f t="shared" si="1"/>
        <v>6</v>
      </c>
      <c r="N20" s="2">
        <f t="shared" si="7"/>
        <v>6.9999999999999999E-6</v>
      </c>
      <c r="O20" s="2">
        <f t="shared" si="4"/>
        <v>6</v>
      </c>
      <c r="Q20" s="2" t="str">
        <f t="shared" si="5"/>
        <v>F</v>
      </c>
    </row>
    <row r="21" spans="2:21" x14ac:dyDescent="0.2">
      <c r="B21" s="2" t="str">
        <f>_xlfn.XLOOKUP(C21,'Player Template'!$D:$D,'Player Template'!$X:$X)</f>
        <v>IR Iran</v>
      </c>
      <c r="C21" s="6" t="s">
        <v>129</v>
      </c>
      <c r="D21" s="6" t="str">
        <f t="shared" si="2"/>
        <v>G</v>
      </c>
      <c r="E21" s="6">
        <f t="shared" si="6"/>
        <v>1.0000000000000002E-14</v>
      </c>
      <c r="F21" s="2">
        <f>_xlfn.XLOOKUP($C21,'Player Template'!$D:$D,'Player Template'!Y:Y)</f>
        <v>0</v>
      </c>
      <c r="G21" s="2">
        <f>_xlfn.XLOOKUP($C21,'Player Template'!$D:$D,'Player Template'!AB:AB)</f>
        <v>0</v>
      </c>
      <c r="H21" s="2">
        <f>_xlfn.XLOOKUP($C21,'Player Template'!$D:$D,'Player Template'!Z:Z)</f>
        <v>0</v>
      </c>
      <c r="I21" s="2">
        <f t="shared" si="3"/>
        <v>6</v>
      </c>
      <c r="J21" s="33">
        <f t="shared" si="0"/>
        <v>6.0000000000000002E-6</v>
      </c>
      <c r="L21" s="34">
        <f t="shared" si="1"/>
        <v>7</v>
      </c>
      <c r="N21" s="2">
        <f t="shared" si="7"/>
        <v>6.0000000000000002E-6</v>
      </c>
      <c r="O21" s="2">
        <f t="shared" si="4"/>
        <v>7</v>
      </c>
      <c r="Q21" s="2" t="str">
        <f t="shared" si="5"/>
        <v>G</v>
      </c>
    </row>
    <row r="22" spans="2:21" x14ac:dyDescent="0.2">
      <c r="B22" s="2" t="str">
        <f>_xlfn.XLOOKUP(C22,'Player Template'!$D:$D,'Player Template'!$X:$X)</f>
        <v>Saudi Arabia</v>
      </c>
      <c r="C22" s="6" t="s">
        <v>138</v>
      </c>
      <c r="D22" s="6" t="str">
        <f t="shared" si="2"/>
        <v>H</v>
      </c>
      <c r="E22" s="6">
        <f t="shared" si="6"/>
        <v>1.0000000000000001E-15</v>
      </c>
      <c r="F22" s="2">
        <f>_xlfn.XLOOKUP($C22,'Player Template'!$D:$D,'Player Template'!Y:Y)</f>
        <v>0</v>
      </c>
      <c r="G22" s="2">
        <f>_xlfn.XLOOKUP($C22,'Player Template'!$D:$D,'Player Template'!AB:AB)</f>
        <v>0</v>
      </c>
      <c r="H22" s="2">
        <f>_xlfn.XLOOKUP($C22,'Player Template'!$D:$D,'Player Template'!Z:Z)</f>
        <v>0</v>
      </c>
      <c r="I22" s="2">
        <f t="shared" si="3"/>
        <v>5</v>
      </c>
      <c r="J22" s="33">
        <f t="shared" si="0"/>
        <v>5.0000000000000004E-6</v>
      </c>
      <c r="L22" s="34">
        <f t="shared" si="1"/>
        <v>8</v>
      </c>
      <c r="N22" s="2">
        <f t="shared" si="7"/>
        <v>5.0000000010000007E-6</v>
      </c>
      <c r="O22" s="2">
        <f t="shared" si="4"/>
        <v>8</v>
      </c>
      <c r="Q22" s="2" t="str">
        <f t="shared" si="5"/>
        <v>H</v>
      </c>
    </row>
    <row r="23" spans="2:21" x14ac:dyDescent="0.2">
      <c r="B23" s="2" t="str">
        <f>_xlfn.XLOOKUP(C23,'Player Template'!$D:$D,'Player Template'!$X:$X)</f>
        <v>Iraq</v>
      </c>
      <c r="C23" s="6" t="s">
        <v>147</v>
      </c>
      <c r="D23" s="6" t="str">
        <f t="shared" si="2"/>
        <v>I</v>
      </c>
      <c r="E23" s="6">
        <f t="shared" si="6"/>
        <v>1.0000000000000001E-16</v>
      </c>
      <c r="F23" s="2">
        <f>_xlfn.XLOOKUP($C23,'Player Template'!$D:$D,'Player Template'!Y:Y)</f>
        <v>0</v>
      </c>
      <c r="G23" s="2">
        <f>_xlfn.XLOOKUP($C23,'Player Template'!$D:$D,'Player Template'!AB:AB)</f>
        <v>0</v>
      </c>
      <c r="H23" s="2">
        <f>_xlfn.XLOOKUP($C23,'Player Template'!$D:$D,'Player Template'!Z:Z)</f>
        <v>0</v>
      </c>
      <c r="I23" s="2">
        <f t="shared" si="3"/>
        <v>4</v>
      </c>
      <c r="J23" s="33">
        <f t="shared" si="0"/>
        <v>3.9999999999999998E-6</v>
      </c>
      <c r="L23" s="34">
        <f t="shared" si="1"/>
        <v>9</v>
      </c>
      <c r="N23" s="2">
        <f t="shared" si="7"/>
        <v>3.9999999999999998E-6</v>
      </c>
      <c r="O23" s="2">
        <f t="shared" si="4"/>
        <v>9</v>
      </c>
      <c r="Q23" s="2" t="str">
        <f t="shared" si="5"/>
        <v/>
      </c>
    </row>
    <row r="24" spans="2:21" x14ac:dyDescent="0.2">
      <c r="B24" s="2" t="str">
        <f>_xlfn.XLOOKUP(C24,'Player Template'!$D:$D,'Player Template'!$X:$X)</f>
        <v>Austria</v>
      </c>
      <c r="C24" s="6" t="s">
        <v>156</v>
      </c>
      <c r="D24" s="6" t="str">
        <f t="shared" si="2"/>
        <v>J</v>
      </c>
      <c r="E24" s="6">
        <f t="shared" si="6"/>
        <v>1.0000000000000001E-17</v>
      </c>
      <c r="F24" s="2">
        <f>_xlfn.XLOOKUP($C24,'Player Template'!$D:$D,'Player Template'!Y:Y)</f>
        <v>0</v>
      </c>
      <c r="G24" s="2">
        <f>_xlfn.XLOOKUP($C24,'Player Template'!$D:$D,'Player Template'!AB:AB)</f>
        <v>0</v>
      </c>
      <c r="H24" s="2">
        <f>_xlfn.XLOOKUP($C24,'Player Template'!$D:$D,'Player Template'!Z:Z)</f>
        <v>0</v>
      </c>
      <c r="I24" s="2">
        <f t="shared" si="3"/>
        <v>3</v>
      </c>
      <c r="J24" s="33">
        <f t="shared" si="0"/>
        <v>3.0000000000000001E-6</v>
      </c>
      <c r="L24" s="34">
        <f t="shared" si="1"/>
        <v>10</v>
      </c>
      <c r="N24" s="2">
        <f t="shared" si="7"/>
        <v>3.0000000000000001E-6</v>
      </c>
      <c r="O24" s="2">
        <f t="shared" si="4"/>
        <v>10</v>
      </c>
      <c r="Q24" s="2" t="str">
        <f t="shared" si="5"/>
        <v/>
      </c>
    </row>
    <row r="25" spans="2:21" x14ac:dyDescent="0.2">
      <c r="B25" s="2" t="str">
        <f>_xlfn.XLOOKUP(C25,'Player Template'!$D:$D,'Player Template'!$X:$X)</f>
        <v>Uzbekistan</v>
      </c>
      <c r="C25" s="6" t="s">
        <v>165</v>
      </c>
      <c r="D25" s="6" t="str">
        <f t="shared" si="2"/>
        <v>K</v>
      </c>
      <c r="E25" s="6">
        <f t="shared" si="6"/>
        <v>1.0000000000000001E-18</v>
      </c>
      <c r="F25" s="2">
        <f>_xlfn.XLOOKUP($C25,'Player Template'!$D:$D,'Player Template'!Y:Y)</f>
        <v>0</v>
      </c>
      <c r="G25" s="2">
        <f>_xlfn.XLOOKUP($C25,'Player Template'!$D:$D,'Player Template'!AB:AB)</f>
        <v>0</v>
      </c>
      <c r="H25" s="2">
        <f>_xlfn.XLOOKUP($C25,'Player Template'!$D:$D,'Player Template'!Z:Z)</f>
        <v>0</v>
      </c>
      <c r="I25" s="2">
        <f t="shared" si="3"/>
        <v>2</v>
      </c>
      <c r="J25" s="33">
        <f t="shared" si="0"/>
        <v>1.9999999999999999E-6</v>
      </c>
      <c r="L25" s="34">
        <f t="shared" si="1"/>
        <v>11</v>
      </c>
      <c r="N25" s="2">
        <f t="shared" si="7"/>
        <v>1.9999999999999999E-6</v>
      </c>
      <c r="O25" s="2">
        <f t="shared" si="4"/>
        <v>11</v>
      </c>
      <c r="Q25" s="2" t="str">
        <f t="shared" si="5"/>
        <v/>
      </c>
    </row>
    <row r="26" spans="2:21" ht="15.75" thickBot="1" x14ac:dyDescent="0.25">
      <c r="B26" s="2" t="str">
        <f>_xlfn.XLOOKUP(C26,'Player Template'!$D:$D,'Player Template'!$X:$X)</f>
        <v>Ghana</v>
      </c>
      <c r="C26" s="6" t="s">
        <v>174</v>
      </c>
      <c r="D26" s="6" t="str">
        <f t="shared" si="2"/>
        <v>L</v>
      </c>
      <c r="E26" s="6">
        <f t="shared" si="6"/>
        <v>1.0000000000000001E-19</v>
      </c>
      <c r="F26" s="2">
        <f>_xlfn.XLOOKUP($C26,'Player Template'!$D:$D,'Player Template'!Y:Y)</f>
        <v>0</v>
      </c>
      <c r="G26" s="2">
        <f>_xlfn.XLOOKUP($C26,'Player Template'!$D:$D,'Player Template'!AB:AB)</f>
        <v>0</v>
      </c>
      <c r="H26" s="2">
        <f>_xlfn.XLOOKUP($C26,'Player Template'!$D:$D,'Player Template'!Z:Z)</f>
        <v>0</v>
      </c>
      <c r="I26" s="2">
        <f t="shared" si="3"/>
        <v>1</v>
      </c>
      <c r="J26" s="35">
        <f t="shared" si="0"/>
        <v>9.9999999999999995E-7</v>
      </c>
      <c r="L26" s="36">
        <f t="shared" si="1"/>
        <v>12</v>
      </c>
      <c r="N26" s="2">
        <f t="shared" si="7"/>
        <v>9.9999999999999995E-7</v>
      </c>
      <c r="O26" s="2">
        <f t="shared" si="4"/>
        <v>12</v>
      </c>
      <c r="Q26" s="2" t="str">
        <f t="shared" si="5"/>
        <v/>
      </c>
      <c r="S26" s="37" t="s">
        <v>187</v>
      </c>
      <c r="T26" s="38"/>
      <c r="U26" s="38" t="str">
        <f>CONCATENATE(Q15,Q16,Q17,Q18,Q19,Q20,Q21,Q22,Q23,Q24,Q25,Q26)</f>
        <v>ABCDEFGH</v>
      </c>
    </row>
    <row r="27" spans="2:21" ht="3" customHeight="1" x14ac:dyDescent="0.2"/>
    <row r="28" spans="2:21" x14ac:dyDescent="0.2">
      <c r="B28" s="39" t="s">
        <v>219</v>
      </c>
      <c r="C28" s="40"/>
      <c r="D28" s="40"/>
      <c r="E28" s="40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</row>
  </sheetData>
  <conditionalFormatting sqref="B5">
    <cfRule type="containsText" dxfId="6" priority="2" stopIfTrue="1" operator="containsText" text="OK">
      <formula>NOT(ISERROR(SEARCH("OK",B5)))</formula>
    </cfRule>
    <cfRule type="containsText" dxfId="5" priority="3" stopIfTrue="1" operator="containsText" text="PBL">
      <formula>NOT(ISERROR(SEARCH("PBL",B5)))</formula>
    </cfRule>
    <cfRule type="containsText" dxfId="4" priority="4" stopIfTrue="1" operator="containsText" text="n.a.">
      <formula>NOT(ISERROR(SEARCH("n.a.",B5)))</formula>
    </cfRule>
  </conditionalFormatting>
  <conditionalFormatting sqref="L15:L26">
    <cfRule type="duplicateValues" dxfId="3" priority="1"/>
  </conditionalFormatting>
  <pageMargins left="0.7" right="0.7" top="0.75" bottom="0.75" header="0.3" footer="0.3"/>
  <headerFooter>
    <oddHeader>&amp;R&amp;"Aptos"&amp;11&amp;KFF0000 Distribution : Restricted&amp;1#_x000D_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65D1-6C55-4E96-96CC-242BB2616853}">
  <dimension ref="A1:D62"/>
  <sheetViews>
    <sheetView showGridLines="0" zoomScale="80" zoomScaleNormal="80" workbookViewId="0"/>
  </sheetViews>
  <sheetFormatPr defaultColWidth="9.77734375" defaultRowHeight="14.25" x14ac:dyDescent="0.2"/>
  <cols>
    <col min="1" max="1" width="0.88671875" style="2" customWidth="1"/>
    <col min="2" max="2" width="21.77734375" style="2" bestFit="1" customWidth="1"/>
    <col min="3" max="3" width="20.21875" bestFit="1" customWidth="1"/>
    <col min="4" max="4" width="10.109375" style="2" bestFit="1" customWidth="1"/>
    <col min="5" max="16384" width="9.77734375" style="2"/>
  </cols>
  <sheetData>
    <row r="1" spans="1:4" ht="15" x14ac:dyDescent="0.25">
      <c r="A1" s="1" t="s">
        <v>189</v>
      </c>
    </row>
    <row r="2" spans="1:4" ht="15" x14ac:dyDescent="0.25">
      <c r="A2" s="24" t="s">
        <v>221</v>
      </c>
    </row>
    <row r="3" spans="1:4" x14ac:dyDescent="0.2">
      <c r="A3" s="2" t="str">
        <f ca="1">MID(CELL("filename",A1),FIND("]",CELL("filename",A1))+1,50)</f>
        <v>FIFA rankings</v>
      </c>
    </row>
    <row r="4" spans="1:4" x14ac:dyDescent="0.2">
      <c r="B4" s="3" t="s">
        <v>0</v>
      </c>
    </row>
    <row r="5" spans="1:4" x14ac:dyDescent="0.2">
      <c r="B5" s="4" t="s">
        <v>218</v>
      </c>
    </row>
    <row r="6" spans="1:4" ht="3" customHeight="1" x14ac:dyDescent="0.2"/>
    <row r="7" spans="1:4" ht="15" x14ac:dyDescent="0.25">
      <c r="B7" s="1" t="s">
        <v>1</v>
      </c>
    </row>
    <row r="8" spans="1:4" x14ac:dyDescent="0.2">
      <c r="B8" s="5" t="s">
        <v>2</v>
      </c>
    </row>
    <row r="9" spans="1:4" ht="15" thickBot="1" x14ac:dyDescent="0.25"/>
    <row r="10" spans="1:4" ht="15" x14ac:dyDescent="0.25">
      <c r="B10" s="25" t="s">
        <v>176</v>
      </c>
    </row>
    <row r="11" spans="1:4" ht="15.75" thickBot="1" x14ac:dyDescent="0.3">
      <c r="B11" s="26">
        <v>46163</v>
      </c>
    </row>
    <row r="13" spans="1:4" ht="16.5" x14ac:dyDescent="0.35">
      <c r="D13" s="7" t="s">
        <v>177</v>
      </c>
    </row>
    <row r="14" spans="1:4" ht="15" x14ac:dyDescent="0.25">
      <c r="B14" s="9" t="s">
        <v>178</v>
      </c>
      <c r="C14" s="27" t="s">
        <v>179</v>
      </c>
      <c r="D14" s="10" t="s">
        <v>11</v>
      </c>
    </row>
    <row r="15" spans="1:4" x14ac:dyDescent="0.2">
      <c r="B15" s="2" t="s">
        <v>142</v>
      </c>
      <c r="C15" t="b">
        <f>ISNUMBER(MATCH($B15,'Player Template'!$X:$X,0))</f>
        <v>1</v>
      </c>
      <c r="D15" s="11">
        <v>1877.32</v>
      </c>
    </row>
    <row r="16" spans="1:4" x14ac:dyDescent="0.2">
      <c r="B16" s="2" t="s">
        <v>133</v>
      </c>
      <c r="C16" t="b">
        <f>ISNUMBER(MATCH($B16,'Player Template'!$X:$X,0))</f>
        <v>1</v>
      </c>
      <c r="D16" s="11">
        <v>1876.4</v>
      </c>
    </row>
    <row r="17" spans="2:4" x14ac:dyDescent="0.2">
      <c r="B17" s="2" t="s">
        <v>151</v>
      </c>
      <c r="C17" t="b">
        <f>ISNUMBER(MATCH($B17,'Player Template'!$X:$X,0))</f>
        <v>1</v>
      </c>
      <c r="D17" s="11">
        <v>1874.81</v>
      </c>
    </row>
    <row r="18" spans="2:4" x14ac:dyDescent="0.2">
      <c r="B18" s="2" t="s">
        <v>169</v>
      </c>
      <c r="C18" t="b">
        <f>ISNUMBER(MATCH($B18,'Player Template'!$X:$X,0))</f>
        <v>1</v>
      </c>
      <c r="D18" s="11">
        <v>1825.97</v>
      </c>
    </row>
    <row r="19" spans="2:4" x14ac:dyDescent="0.2">
      <c r="B19" s="2" t="s">
        <v>160</v>
      </c>
      <c r="C19" t="b">
        <f>ISNUMBER(MATCH($B19,'Player Template'!$X:$X,0))</f>
        <v>1</v>
      </c>
      <c r="D19" s="11">
        <v>1763.83</v>
      </c>
    </row>
    <row r="20" spans="2:4" x14ac:dyDescent="0.2">
      <c r="B20" s="2" t="s">
        <v>88</v>
      </c>
      <c r="C20" t="b">
        <f>ISNUMBER(MATCH($B20,'Player Template'!$X:$X,0))</f>
        <v>1</v>
      </c>
      <c r="D20" s="11">
        <v>1761.16</v>
      </c>
    </row>
    <row r="21" spans="2:4" x14ac:dyDescent="0.2">
      <c r="B21" s="2" t="s">
        <v>115</v>
      </c>
      <c r="C21" t="b">
        <f>ISNUMBER(MATCH($B21,'Player Template'!$X:$X,0))</f>
        <v>1</v>
      </c>
      <c r="D21" s="11">
        <v>1757.87</v>
      </c>
    </row>
    <row r="22" spans="2:4" x14ac:dyDescent="0.2">
      <c r="B22" s="2" t="s">
        <v>89</v>
      </c>
      <c r="C22" t="b">
        <f>ISNUMBER(MATCH($B22,'Player Template'!$X:$X,0))</f>
        <v>1</v>
      </c>
      <c r="D22" s="11">
        <v>1755.87</v>
      </c>
    </row>
    <row r="23" spans="2:4" x14ac:dyDescent="0.2">
      <c r="B23" s="2" t="s">
        <v>124</v>
      </c>
      <c r="C23" t="b">
        <f>ISNUMBER(MATCH($B23,'Player Template'!$X:$X,0))</f>
        <v>1</v>
      </c>
      <c r="D23" s="11">
        <v>1734.71</v>
      </c>
    </row>
    <row r="24" spans="2:4" x14ac:dyDescent="0.2">
      <c r="B24" s="2" t="s">
        <v>106</v>
      </c>
      <c r="C24" t="b">
        <f>ISNUMBER(MATCH($B24,'Player Template'!$X:$X,0))</f>
        <v>1</v>
      </c>
      <c r="D24" s="11">
        <v>1730.37</v>
      </c>
    </row>
    <row r="25" spans="2:4" x14ac:dyDescent="0.2">
      <c r="B25" s="2" t="s">
        <v>170</v>
      </c>
      <c r="C25" t="b">
        <f>ISNUMBER(MATCH($B25,'Player Template'!$X:$X,0))</f>
        <v>1</v>
      </c>
      <c r="D25" s="11">
        <v>1717.07</v>
      </c>
    </row>
    <row r="26" spans="2:4" x14ac:dyDescent="0.2">
      <c r="B26" s="2" t="s">
        <v>164</v>
      </c>
      <c r="C26" t="b">
        <f>ISNUMBER(MATCH($B26,'Player Template'!$X:$X,0))</f>
        <v>1</v>
      </c>
      <c r="D26" s="11">
        <v>1693.09</v>
      </c>
    </row>
    <row r="27" spans="2:4" x14ac:dyDescent="0.2">
      <c r="B27" s="2" t="s">
        <v>143</v>
      </c>
      <c r="C27" t="b">
        <f>ISNUMBER(MATCH($B27,'Player Template'!$X:$X,0))</f>
        <v>1</v>
      </c>
      <c r="D27" s="11">
        <v>1688.99</v>
      </c>
    </row>
    <row r="28" spans="2:4" x14ac:dyDescent="0.2">
      <c r="B28" s="2" t="s">
        <v>69</v>
      </c>
      <c r="C28" t="b">
        <f>ISNUMBER(MATCH($B28,'Player Template'!$X:$X,0))</f>
        <v>1</v>
      </c>
      <c r="D28" s="11">
        <v>1681.03</v>
      </c>
    </row>
    <row r="29" spans="2:4" x14ac:dyDescent="0.2">
      <c r="B29" s="2" t="s">
        <v>97</v>
      </c>
      <c r="C29" t="b">
        <f>ISNUMBER(MATCH($B29,'Player Template'!$X:$X,0))</f>
        <v>1</v>
      </c>
      <c r="D29" s="11">
        <v>1673.13</v>
      </c>
    </row>
    <row r="30" spans="2:4" x14ac:dyDescent="0.2">
      <c r="B30" s="2" t="s">
        <v>137</v>
      </c>
      <c r="C30" t="b">
        <f>ISNUMBER(MATCH($B30,'Player Template'!$X:$X,0))</f>
        <v>1</v>
      </c>
      <c r="D30" s="11">
        <v>1673.07</v>
      </c>
    </row>
    <row r="31" spans="2:4" x14ac:dyDescent="0.2">
      <c r="B31" s="2" t="s">
        <v>116</v>
      </c>
      <c r="C31" t="b">
        <f>ISNUMBER(MATCH($B31,'Player Template'!$X:$X,0))</f>
        <v>1</v>
      </c>
      <c r="D31" s="11">
        <v>1660.43</v>
      </c>
    </row>
    <row r="32" spans="2:4" x14ac:dyDescent="0.2">
      <c r="B32" s="2" t="s">
        <v>83</v>
      </c>
      <c r="C32" t="b">
        <f>ISNUMBER(MATCH($B32,'Player Template'!$X:$X,0))</f>
        <v>1</v>
      </c>
      <c r="D32" s="11">
        <v>1649.4</v>
      </c>
    </row>
    <row r="33" spans="2:4" x14ac:dyDescent="0.2">
      <c r="B33" s="2" t="s">
        <v>127</v>
      </c>
      <c r="C33" t="b">
        <f>ISNUMBER(MATCH($B33,'Player Template'!$X:$X,0))</f>
        <v>1</v>
      </c>
      <c r="D33" s="11">
        <v>1615.3</v>
      </c>
    </row>
    <row r="34" spans="2:4" x14ac:dyDescent="0.2">
      <c r="B34" s="2" t="s">
        <v>101</v>
      </c>
      <c r="C34" t="b">
        <f>ISNUMBER(MATCH($B34,'Player Template'!$X:$X,0))</f>
        <v>1</v>
      </c>
      <c r="D34" s="11">
        <v>1599.04</v>
      </c>
    </row>
    <row r="35" spans="2:4" x14ac:dyDescent="0.2">
      <c r="B35" s="2" t="s">
        <v>110</v>
      </c>
      <c r="C35" t="b">
        <f>ISNUMBER(MATCH($B35,'Player Template'!$X:$X,0))</f>
        <v>1</v>
      </c>
      <c r="D35" s="11">
        <v>1594.78</v>
      </c>
    </row>
    <row r="36" spans="2:4" x14ac:dyDescent="0.2">
      <c r="B36" s="2" t="s">
        <v>154</v>
      </c>
      <c r="C36" t="b">
        <f>ISNUMBER(MATCH($B36,'Player Template'!$X:$X,0))</f>
        <v>1</v>
      </c>
      <c r="D36" s="11">
        <v>1593.45</v>
      </c>
    </row>
    <row r="37" spans="2:4" x14ac:dyDescent="0.2">
      <c r="B37" s="2" t="s">
        <v>73</v>
      </c>
      <c r="C37" t="b">
        <f>ISNUMBER(MATCH($B37,'Player Template'!$X:$X,0))</f>
        <v>1</v>
      </c>
      <c r="D37" s="11">
        <v>1588.66</v>
      </c>
    </row>
    <row r="38" spans="2:4" x14ac:dyDescent="0.2">
      <c r="B38" s="2" t="s">
        <v>100</v>
      </c>
      <c r="C38" t="b">
        <f>ISNUMBER(MATCH($B38,'Player Template'!$X:$X,0))</f>
        <v>1</v>
      </c>
      <c r="D38" s="11">
        <v>1580.67</v>
      </c>
    </row>
    <row r="39" spans="2:4" x14ac:dyDescent="0.2">
      <c r="B39" s="2" t="s">
        <v>152</v>
      </c>
      <c r="C39" t="b">
        <f>ISNUMBER(MATCH($B39,'Player Template'!$X:$X,0))</f>
        <v>1</v>
      </c>
      <c r="D39" s="11">
        <v>1564.26</v>
      </c>
    </row>
    <row r="40" spans="2:4" x14ac:dyDescent="0.2">
      <c r="B40" s="2" t="s">
        <v>125</v>
      </c>
      <c r="C40" t="b">
        <f>ISNUMBER(MATCH($B40,'Player Template'!$X:$X,0))</f>
        <v>1</v>
      </c>
      <c r="D40" s="11">
        <v>1563.24</v>
      </c>
    </row>
    <row r="41" spans="2:4" x14ac:dyDescent="0.2">
      <c r="B41" s="2" t="s">
        <v>79</v>
      </c>
      <c r="C41" t="b">
        <f>ISNUMBER(MATCH($B41,'Player Template'!$X:$X,0))</f>
        <v>1</v>
      </c>
      <c r="D41" s="11">
        <v>1556.48</v>
      </c>
    </row>
    <row r="42" spans="2:4" x14ac:dyDescent="0.2">
      <c r="B42" s="2" t="s">
        <v>146</v>
      </c>
      <c r="C42" t="b">
        <f>ISNUMBER(MATCH($B42,'Player Template'!$X:$X,0))</f>
        <v>1</v>
      </c>
      <c r="D42" s="11">
        <v>1550.94</v>
      </c>
    </row>
    <row r="43" spans="2:4" x14ac:dyDescent="0.2">
      <c r="B43" s="2" t="s">
        <v>173</v>
      </c>
      <c r="C43" t="b">
        <f>ISNUMBER(MATCH($B43,'Player Template'!$X:$X,0))</f>
        <v>1</v>
      </c>
      <c r="D43" s="11">
        <v>1540.64</v>
      </c>
    </row>
    <row r="44" spans="2:4" x14ac:dyDescent="0.2">
      <c r="B44" s="2" t="s">
        <v>109</v>
      </c>
      <c r="C44" t="b">
        <f>ISNUMBER(MATCH($B44,'Player Template'!$X:$X,0))</f>
        <v>1</v>
      </c>
      <c r="D44" s="11">
        <v>1532.98</v>
      </c>
    </row>
    <row r="45" spans="2:4" x14ac:dyDescent="0.2">
      <c r="B45" s="2" t="s">
        <v>118</v>
      </c>
      <c r="C45" t="b">
        <f>ISNUMBER(MATCH($B45,'Player Template'!$X:$X,0))</f>
        <v>1</v>
      </c>
      <c r="D45" s="11">
        <v>1514.77</v>
      </c>
    </row>
    <row r="46" spans="2:4" x14ac:dyDescent="0.2">
      <c r="B46" s="2" t="s">
        <v>98</v>
      </c>
      <c r="C46" t="b">
        <f>ISNUMBER(MATCH($B46,'Player Template'!$X:$X,0))</f>
        <v>1</v>
      </c>
      <c r="D46" s="11">
        <v>1503.5</v>
      </c>
    </row>
    <row r="47" spans="2:4" x14ac:dyDescent="0.2">
      <c r="B47" s="2" t="s">
        <v>74</v>
      </c>
      <c r="C47" t="b">
        <f>ISNUMBER(MATCH($B47,'Player Template'!$X:$X,0))</f>
        <v>1</v>
      </c>
      <c r="D47" s="11">
        <v>1501.38</v>
      </c>
    </row>
    <row r="48" spans="2:4" x14ac:dyDescent="0.2">
      <c r="B48" s="2" t="s">
        <v>92</v>
      </c>
      <c r="C48" t="b">
        <f>ISNUMBER(MATCH($B48,'Player Template'!$X:$X,0))</f>
        <v>1</v>
      </c>
      <c r="D48" s="11">
        <v>1498.35</v>
      </c>
    </row>
    <row r="49" spans="2:4" x14ac:dyDescent="0.2">
      <c r="B49" s="2" t="s">
        <v>119</v>
      </c>
      <c r="C49" t="b">
        <f>ISNUMBER(MATCH($B49,'Player Template'!$X:$X,0))</f>
        <v>1</v>
      </c>
      <c r="D49" s="11">
        <v>1483.05</v>
      </c>
    </row>
    <row r="50" spans="2:4" x14ac:dyDescent="0.2">
      <c r="B50" s="2" t="s">
        <v>161</v>
      </c>
      <c r="C50" t="b">
        <f>ISNUMBER(MATCH($B50,'Player Template'!$X:$X,0))</f>
        <v>1</v>
      </c>
      <c r="D50" s="11">
        <v>1478.35</v>
      </c>
    </row>
    <row r="51" spans="2:4" x14ac:dyDescent="0.2">
      <c r="B51" s="2" t="s">
        <v>163</v>
      </c>
      <c r="C51" t="b">
        <f>ISNUMBER(MATCH($B51,'Player Template'!$X:$X,0))</f>
        <v>1</v>
      </c>
      <c r="D51" s="11">
        <v>1465.34</v>
      </c>
    </row>
    <row r="52" spans="2:4" x14ac:dyDescent="0.2">
      <c r="B52" s="2" t="s">
        <v>82</v>
      </c>
      <c r="C52" t="b">
        <f>ISNUMBER(MATCH($B52,'Player Template'!$X:$X,0))</f>
        <v>1</v>
      </c>
      <c r="D52" s="11">
        <v>1454.96</v>
      </c>
    </row>
    <row r="53" spans="2:4" x14ac:dyDescent="0.2">
      <c r="B53" s="2" t="s">
        <v>145</v>
      </c>
      <c r="C53" t="b">
        <f>ISNUMBER(MATCH($B53,'Player Template'!$X:$X,0))</f>
        <v>1</v>
      </c>
      <c r="D53" s="11">
        <v>1447.14</v>
      </c>
    </row>
    <row r="54" spans="2:4" x14ac:dyDescent="0.2">
      <c r="B54" s="2" t="s">
        <v>70</v>
      </c>
      <c r="C54" t="b">
        <f>ISNUMBER(MATCH($B54,'Player Template'!$X:$X,0))</f>
        <v>1</v>
      </c>
      <c r="D54" s="11">
        <v>1429.73</v>
      </c>
    </row>
    <row r="55" spans="2:4" x14ac:dyDescent="0.2">
      <c r="B55" s="2" t="s">
        <v>136</v>
      </c>
      <c r="C55" t="b">
        <f>ISNUMBER(MATCH($B55,'Player Template'!$X:$X,0))</f>
        <v>1</v>
      </c>
      <c r="D55" s="11">
        <v>1421.43</v>
      </c>
    </row>
    <row r="56" spans="2:4" x14ac:dyDescent="0.2">
      <c r="B56" s="2" t="s">
        <v>155</v>
      </c>
      <c r="C56" t="b">
        <f>ISNUMBER(MATCH($B56,'Player Template'!$X:$X,0))</f>
        <v>1</v>
      </c>
      <c r="D56" s="11">
        <v>1391.45</v>
      </c>
    </row>
    <row r="57" spans="2:4" x14ac:dyDescent="0.2">
      <c r="B57" s="2" t="s">
        <v>80</v>
      </c>
      <c r="C57" t="b">
        <f>ISNUMBER(MATCH($B57,'Player Template'!$X:$X,0))</f>
        <v>1</v>
      </c>
      <c r="D57" s="11">
        <v>1385.84</v>
      </c>
    </row>
    <row r="58" spans="2:4" x14ac:dyDescent="0.2">
      <c r="B58" s="2" t="s">
        <v>134</v>
      </c>
      <c r="C58" t="b">
        <f>ISNUMBER(MATCH($B58,'Player Template'!$X:$X,0))</f>
        <v>1</v>
      </c>
      <c r="D58" s="11">
        <v>1366.13</v>
      </c>
    </row>
    <row r="59" spans="2:4" x14ac:dyDescent="0.2">
      <c r="B59" s="2" t="s">
        <v>172</v>
      </c>
      <c r="C59" t="b">
        <f>ISNUMBER(MATCH($B59,'Player Template'!$X:$X,0))</f>
        <v>1</v>
      </c>
      <c r="D59" s="11">
        <v>1346.31</v>
      </c>
    </row>
    <row r="60" spans="2:4" x14ac:dyDescent="0.2">
      <c r="B60" s="2" t="s">
        <v>107</v>
      </c>
      <c r="C60" t="b">
        <f>ISNUMBER(MATCH($B60,'Player Template'!$X:$X,0))</f>
        <v>1</v>
      </c>
      <c r="D60" s="28">
        <v>1294.6500000000001</v>
      </c>
    </row>
    <row r="61" spans="2:4" x14ac:dyDescent="0.2">
      <c r="B61" s="2" t="s">
        <v>91</v>
      </c>
      <c r="C61" t="b">
        <f>ISNUMBER(MATCH($B61,'Player Template'!$X:$X,0))</f>
        <v>1</v>
      </c>
      <c r="D61" s="28">
        <v>1291.71</v>
      </c>
    </row>
    <row r="62" spans="2:4" x14ac:dyDescent="0.2">
      <c r="B62" s="2" t="s">
        <v>128</v>
      </c>
      <c r="C62" t="b">
        <f>ISNUMBER(MATCH($B62,'Player Template'!$X:$X,0))</f>
        <v>1</v>
      </c>
      <c r="D62" s="28">
        <v>1281.57</v>
      </c>
    </row>
  </sheetData>
  <autoFilter ref="A14:D62" xr:uid="{9F8BDE32-A7D8-4C5A-9BA3-405293F13BEC}"/>
  <conditionalFormatting sqref="B5:C5">
    <cfRule type="containsText" dxfId="2" priority="1" stopIfTrue="1" operator="containsText" text="OK">
      <formula>NOT(ISERROR(SEARCH("OK",B5)))</formula>
    </cfRule>
    <cfRule type="containsText" dxfId="1" priority="2" stopIfTrue="1" operator="containsText" text="PBL">
      <formula>NOT(ISERROR(SEARCH("PBL",B5)))</formula>
    </cfRule>
    <cfRule type="containsText" dxfId="0" priority="3" stopIfTrue="1" operator="containsText" text="n.a.">
      <formula>NOT(ISERROR(SEARCH("n.a.",B5)))</formula>
    </cfRule>
  </conditionalFormatting>
  <pageMargins left="0.7" right="0.7" top="0.75" bottom="0.75" header="0.3" footer="0.3"/>
  <headerFooter>
    <oddHeader>&amp;R&amp;"Aptos"&amp;11&amp;KFF0000 Distribution : Restricted&amp;1#_x000D_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87C1-10DD-4C73-A45B-843EF9A416A3}">
  <dimension ref="A1:B26"/>
  <sheetViews>
    <sheetView showGridLines="0" workbookViewId="0"/>
  </sheetViews>
  <sheetFormatPr defaultRowHeight="14.25" x14ac:dyDescent="0.2"/>
  <cols>
    <col min="1" max="1" width="0.88671875" style="2" customWidth="1"/>
    <col min="2" max="2" width="35.77734375" customWidth="1"/>
  </cols>
  <sheetData>
    <row r="1" spans="1:2" ht="15" x14ac:dyDescent="0.25">
      <c r="A1" s="1" t="s">
        <v>189</v>
      </c>
    </row>
    <row r="2" spans="1:2" ht="15" x14ac:dyDescent="0.25">
      <c r="A2" s="24" t="s">
        <v>221</v>
      </c>
    </row>
    <row r="3" spans="1:2" x14ac:dyDescent="0.2">
      <c r="A3" s="2" t="str">
        <f ca="1">MID(CELL("filename",A1),FIND("]",CELL("filename",A1))+1,50)</f>
        <v>Offices</v>
      </c>
    </row>
    <row r="10" spans="1:2" ht="15" x14ac:dyDescent="0.25">
      <c r="B10" s="8" t="s">
        <v>192</v>
      </c>
    </row>
    <row r="11" spans="1:2" x14ac:dyDescent="0.2">
      <c r="B11" s="2" t="s">
        <v>194</v>
      </c>
    </row>
    <row r="12" spans="1:2" x14ac:dyDescent="0.2">
      <c r="B12" s="2" t="s">
        <v>195</v>
      </c>
    </row>
    <row r="13" spans="1:2" x14ac:dyDescent="0.2">
      <c r="B13" s="2" t="s">
        <v>196</v>
      </c>
    </row>
    <row r="14" spans="1:2" x14ac:dyDescent="0.2">
      <c r="B14" s="2" t="s">
        <v>197</v>
      </c>
    </row>
    <row r="15" spans="1:2" x14ac:dyDescent="0.2">
      <c r="B15" s="2" t="s">
        <v>198</v>
      </c>
    </row>
    <row r="16" spans="1:2" x14ac:dyDescent="0.2">
      <c r="B16" s="2" t="s">
        <v>199</v>
      </c>
    </row>
    <row r="17" spans="2:2" x14ac:dyDescent="0.2">
      <c r="B17" s="2" t="s">
        <v>200</v>
      </c>
    </row>
    <row r="18" spans="2:2" x14ac:dyDescent="0.2">
      <c r="B18" s="2" t="s">
        <v>201</v>
      </c>
    </row>
    <row r="19" spans="2:2" x14ac:dyDescent="0.2">
      <c r="B19" s="2" t="s">
        <v>202</v>
      </c>
    </row>
    <row r="20" spans="2:2" x14ac:dyDescent="0.2">
      <c r="B20" s="2" t="s">
        <v>203</v>
      </c>
    </row>
    <row r="21" spans="2:2" x14ac:dyDescent="0.2">
      <c r="B21" s="2" t="s">
        <v>204</v>
      </c>
    </row>
    <row r="22" spans="2:2" x14ac:dyDescent="0.2">
      <c r="B22" s="2" t="s">
        <v>205</v>
      </c>
    </row>
    <row r="23" spans="2:2" x14ac:dyDescent="0.2">
      <c r="B23" s="2" t="s">
        <v>206</v>
      </c>
    </row>
    <row r="24" spans="2:2" x14ac:dyDescent="0.2">
      <c r="B24" s="2" t="s">
        <v>207</v>
      </c>
    </row>
    <row r="25" spans="2:2" x14ac:dyDescent="0.2">
      <c r="B25" s="2" t="s">
        <v>208</v>
      </c>
    </row>
    <row r="26" spans="2:2" x14ac:dyDescent="0.2">
      <c r="B26" s="2" t="s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0CA7-E123-484C-B009-2850EDABAD24}">
  <dimension ref="A1:H16"/>
  <sheetViews>
    <sheetView workbookViewId="0">
      <selection activeCell="B1" sqref="B1:E1048576"/>
    </sheetView>
  </sheetViews>
  <sheetFormatPr defaultRowHeight="14.25" x14ac:dyDescent="0.2"/>
  <cols>
    <col min="2" max="5" width="0.88671875" customWidth="1"/>
    <col min="6" max="6" width="12.5546875" bestFit="1" customWidth="1"/>
  </cols>
  <sheetData>
    <row r="1" spans="1:8" ht="15" x14ac:dyDescent="0.25">
      <c r="A1">
        <v>1048576</v>
      </c>
      <c r="B1" s="1">
        <v>8</v>
      </c>
      <c r="C1" s="1"/>
      <c r="D1" s="1"/>
      <c r="E1" s="1"/>
    </row>
    <row r="2" spans="1:8" x14ac:dyDescent="0.2">
      <c r="B2" s="2"/>
      <c r="C2" s="2"/>
      <c r="D2" s="2"/>
      <c r="E2" s="2"/>
    </row>
    <row r="3" spans="1:8" x14ac:dyDescent="0.2">
      <c r="B3" s="2"/>
      <c r="C3" s="2"/>
      <c r="D3" s="2"/>
      <c r="E3" s="2"/>
    </row>
    <row r="4" spans="1:8" x14ac:dyDescent="0.2">
      <c r="B4" s="2"/>
      <c r="C4" s="2"/>
      <c r="D4" s="2"/>
      <c r="E4" s="2"/>
    </row>
    <row r="9" spans="1:8" x14ac:dyDescent="0.2">
      <c r="B9" s="49"/>
      <c r="C9" s="49"/>
      <c r="D9" s="49"/>
      <c r="E9" s="49"/>
    </row>
    <row r="10" spans="1:8" ht="15" thickBot="1" x14ac:dyDescent="0.25">
      <c r="B10" s="49"/>
      <c r="C10" s="49"/>
      <c r="D10" s="49"/>
      <c r="E10" s="49"/>
      <c r="F10" s="42"/>
      <c r="G10" s="42"/>
      <c r="H10" s="42"/>
    </row>
    <row r="11" spans="1:8" x14ac:dyDescent="0.2">
      <c r="B11" s="49"/>
      <c r="C11" s="49"/>
      <c r="D11" s="49"/>
      <c r="E11" s="49"/>
    </row>
    <row r="12" spans="1:8" x14ac:dyDescent="0.2">
      <c r="B12" s="49"/>
      <c r="C12" s="49"/>
      <c r="D12" s="49"/>
      <c r="E12" s="49"/>
    </row>
    <row r="13" spans="1:8" x14ac:dyDescent="0.2">
      <c r="B13" s="49"/>
      <c r="C13" s="49"/>
      <c r="D13" s="49"/>
      <c r="E13" s="49"/>
    </row>
    <row r="14" spans="1:8" x14ac:dyDescent="0.2">
      <c r="B14" s="49"/>
      <c r="C14" s="49"/>
      <c r="D14" s="49"/>
      <c r="E14" s="49"/>
    </row>
    <row r="15" spans="1:8" x14ac:dyDescent="0.2">
      <c r="B15" s="49"/>
      <c r="C15" s="49"/>
      <c r="D15" s="49"/>
      <c r="E15" s="49"/>
    </row>
    <row r="16" spans="1:8" x14ac:dyDescent="0.2">
      <c r="B16" s="49"/>
      <c r="C16" s="49"/>
      <c r="D16" s="49"/>
      <c r="E16" s="4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01BE-1280-4717-84B1-D43551016BB1}">
  <dimension ref="A1:H16"/>
  <sheetViews>
    <sheetView workbookViewId="0">
      <selection activeCell="B1" sqref="B1:E1048576"/>
    </sheetView>
  </sheetViews>
  <sheetFormatPr defaultRowHeight="14.25" x14ac:dyDescent="0.2"/>
  <cols>
    <col min="2" max="5" width="0.88671875" customWidth="1"/>
    <col min="6" max="6" width="12.5546875" bestFit="1" customWidth="1"/>
  </cols>
  <sheetData>
    <row r="1" spans="1:8" ht="15" x14ac:dyDescent="0.25">
      <c r="A1">
        <v>1048576</v>
      </c>
      <c r="B1" s="1">
        <v>8</v>
      </c>
      <c r="C1" s="1"/>
      <c r="D1" s="1"/>
      <c r="E1" s="1"/>
    </row>
    <row r="2" spans="1:8" x14ac:dyDescent="0.2">
      <c r="B2" s="2"/>
      <c r="C2" s="2"/>
      <c r="D2" s="2"/>
      <c r="E2" s="2"/>
    </row>
    <row r="3" spans="1:8" x14ac:dyDescent="0.2">
      <c r="B3" s="2"/>
      <c r="C3" s="2"/>
      <c r="D3" s="2"/>
      <c r="E3" s="2"/>
    </row>
    <row r="4" spans="1:8" x14ac:dyDescent="0.2">
      <c r="B4" s="2"/>
      <c r="C4" s="2"/>
      <c r="D4" s="2"/>
      <c r="E4" s="2"/>
    </row>
    <row r="9" spans="1:8" x14ac:dyDescent="0.2">
      <c r="B9" s="49"/>
      <c r="C9" s="49"/>
      <c r="D9" s="49"/>
      <c r="E9" s="49"/>
    </row>
    <row r="10" spans="1:8" ht="15" thickBot="1" x14ac:dyDescent="0.25">
      <c r="B10" s="49"/>
      <c r="C10" s="49"/>
      <c r="D10" s="49"/>
      <c r="E10" s="49"/>
      <c r="F10" s="42"/>
      <c r="G10" s="42"/>
      <c r="H10" s="42"/>
    </row>
    <row r="11" spans="1:8" x14ac:dyDescent="0.2">
      <c r="B11" s="49"/>
      <c r="C11" s="49"/>
      <c r="D11" s="49"/>
      <c r="E11" s="49"/>
    </row>
    <row r="12" spans="1:8" x14ac:dyDescent="0.2">
      <c r="B12" s="49"/>
      <c r="C12" s="49"/>
      <c r="D12" s="49"/>
      <c r="E12" s="49"/>
    </row>
    <row r="13" spans="1:8" x14ac:dyDescent="0.2">
      <c r="B13" s="49"/>
      <c r="C13" s="49"/>
      <c r="D13" s="49"/>
      <c r="E13" s="49"/>
    </row>
    <row r="14" spans="1:8" x14ac:dyDescent="0.2">
      <c r="B14" s="49"/>
      <c r="C14" s="49"/>
      <c r="D14" s="49"/>
      <c r="E14" s="49"/>
    </row>
    <row r="15" spans="1:8" x14ac:dyDescent="0.2">
      <c r="B15" s="49"/>
      <c r="C15" s="49"/>
      <c r="D15" s="49"/>
      <c r="E15" s="49"/>
    </row>
    <row r="16" spans="1:8" x14ac:dyDescent="0.2">
      <c r="B16" s="49"/>
      <c r="C16" s="49"/>
      <c r="D16" s="49"/>
      <c r="E16" s="4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d460f2-2868-4566-81ec-201f095f7fe3" xsi:nil="true"/>
    <lcf76f155ced4ddcb4097134ff3c332f xmlns="bde4d6ad-877a-40d1-8391-b0d006d4358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2B9A80EAA24A4C84021B4518363CCE" ma:contentTypeVersion="11" ma:contentTypeDescription="Crée un document." ma:contentTypeScope="" ma:versionID="f50f369a4f2051c5f3b46ba789c6f73c">
  <xsd:schema xmlns:xsd="http://www.w3.org/2001/XMLSchema" xmlns:xs="http://www.w3.org/2001/XMLSchema" xmlns:p="http://schemas.microsoft.com/office/2006/metadata/properties" xmlns:ns2="bde4d6ad-877a-40d1-8391-b0d006d4358f" xmlns:ns3="c1d460f2-2868-4566-81ec-201f095f7fe3" targetNamespace="http://schemas.microsoft.com/office/2006/metadata/properties" ma:root="true" ma:fieldsID="6c9d8eaa544e0b56ff012226f2e75b84" ns2:_="" ns3:_="">
    <xsd:import namespace="bde4d6ad-877a-40d1-8391-b0d006d4358f"/>
    <xsd:import namespace="c1d460f2-2868-4566-81ec-201f095f7f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4d6ad-877a-40d1-8391-b0d006d435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f7cc6eb-34db-470a-96f7-79dd4e8c89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d460f2-2868-4566-81ec-201f095f7fe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c44183f-63e0-4efd-8da8-a6570e50ec83}" ma:internalName="TaxCatchAll" ma:showField="CatchAllData" ma:web="c1d460f2-2868-4566-81ec-201f095f7f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963ADB-8375-4A53-81AE-B6B2947FA26B}">
  <ds:schemaRefs>
    <ds:schemaRef ds:uri="http://schemas.microsoft.com/office/2006/metadata/properties"/>
    <ds:schemaRef ds:uri="http://schemas.microsoft.com/office/infopath/2007/PartnerControls"/>
    <ds:schemaRef ds:uri="c1d460f2-2868-4566-81ec-201f095f7fe3"/>
    <ds:schemaRef ds:uri="bde4d6ad-877a-40d1-8391-b0d006d4358f"/>
  </ds:schemaRefs>
</ds:datastoreItem>
</file>

<file path=customXml/itemProps2.xml><?xml version="1.0" encoding="utf-8"?>
<ds:datastoreItem xmlns:ds="http://schemas.openxmlformats.org/officeDocument/2006/customXml" ds:itemID="{1BCB5803-B23C-4BFB-9262-21B02F0B2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e4d6ad-877a-40d1-8391-b0d006d4358f"/>
    <ds:schemaRef ds:uri="c1d460f2-2868-4566-81ec-201f095f7f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8CD7C1-0EDB-4CFF-BF60-36044469048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6722351-63c1-42d4-adeb-424df00bf3ec}" enabled="1" method="Standard" siteId="{87001ffa-42d0-4de2-8b7b-4f402f1d1e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Rules</vt:lpstr>
      <vt:lpstr>Player Template</vt:lpstr>
      <vt:lpstr>Last 8 teams predictions</vt:lpstr>
      <vt:lpstr>Base Player</vt:lpstr>
      <vt:lpstr>Base qualification</vt:lpstr>
      <vt:lpstr>Best 3rds calculation</vt:lpstr>
      <vt:lpstr>FIFA rankings</vt:lpstr>
      <vt:lpstr>Offices</vt:lpstr>
      <vt:lpstr>UPSLIDE_UndoFormatting</vt:lpstr>
      <vt:lpstr>UPSLIDE_Undo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LANGILLER Loïc</dc:creator>
  <cp:lastModifiedBy>MONFORT LIBOWSKI Harry</cp:lastModifiedBy>
  <dcterms:created xsi:type="dcterms:W3CDTF">2026-06-01T08:28:25Z</dcterms:created>
  <dcterms:modified xsi:type="dcterms:W3CDTF">2026-06-03T15:35:51Z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0x010100C42B9A80EAA24A4C84021B4518363CCE</vt:lpwstr>
  </property>
  <property fmtid="{D5CDD505-2E9C-101B-9397-08002B2CF9AE}" pid="3" name="MediaServiceImageTags">
    <vt:lpwstr/>
  </property>
</Properties>
</file>